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Question Bank" sheetId="2" state="visible" r:id="rId4"/>
    <sheet name="Departments" sheetId="3" state="visible" r:id="rId5"/>
    <sheet name="Config" sheetId="4" state="visible" r:id="rId6"/>
    <sheet name="Change Log" sheetId="5" state="visible" r:id="rId7"/>
    <sheet name="Pillar Summary" sheetId="6" state="visible" r:id="rId8"/>
    <sheet name="_SCHEMA"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<sst xmlns="http://schemas.openxmlformats.org/spreadsheetml/2006/main" count="401" uniqueCount="279">
  <si>
    <t xml:space="preserve">High Performance Culture Diagnostic Tool — Master Configuration File</t>
  </si>
  <si>
    <t xml:space="preserve">This single Excel file drives the tool. Edit → save → upload back to the High Performance Culture Diagnostic Tool to update questions, departments, scoring bands and other settings in one go.</t>
  </si>
  <si>
    <t xml:space="preserve">What this file contains</t>
  </si>
  <si>
    <t xml:space="preserve">Four working sheets: Question Bank (the 40 diagnostic questions), Departments (the list of departments respondents can choose from), Config (global settings), and Change Log (audit trail). Two support sheets: Pillar Summary and _SCHEMA (do not delete).</t>
  </si>
  <si>
    <t xml:space="preserve">How the tool uses this file</t>
  </si>
  <si>
    <t xml:space="preserve">On upload, the tool reads _SCHEMA to confirm the file version, ingests Departments and Question Bank as the new source of truth, applies Config settings to the scoring engine and questionnaire, appends an entry to Change Log, and re-runs any pending analysis.</t>
  </si>
  <si>
    <t xml:space="preserve">Editing questions</t>
  </si>
  <si>
    <t xml:space="preserve">Go to the Question Bank sheet. You can (a) edit wording, (b) set a question to Inactive to retire it, (c) add a new row with a new Question ID. Never reuse a retired Question ID.</t>
  </si>
  <si>
    <t xml:space="preserve">Editing departments</t>
  </si>
  <si>
    <t xml:space="preserve">Go to the Departments sheet. You can (a) add a new department (new row with a new Dept ID), (b) mark a department Inactive to hide it from the questionnaire drop-down, or (c) rename a department. Existing responses tied to a renamed department will be re-labeled on next report generation.</t>
  </si>
  <si>
    <t xml:space="preserve">Global settings</t>
  </si>
  <si>
    <t xml:space="preserve">Go to the Config sheet. You can adjust the rating scale labels, classification bands, imbalance thresholds, minimum-response threshold and anonymous mode. Do not edit rows marked Read-only.</t>
  </si>
  <si>
    <t xml:space="preserve">Governance</t>
  </si>
  <si>
    <t xml:space="preserve">Any change to this file must be reviewed by the Culture / OD owner before upload. The Change Log sheet requires an entry describing what changed, by whom, and why.</t>
  </si>
  <si>
    <t xml:space="preserve">File version</t>
  </si>
  <si>
    <t xml:space="preserve">The _SCHEMA sheet carries a version tag (HPC-CONFIG-v1). The tool will reject files with a mismatched or missing schema. Do not modify the _SCHEMA sheet.</t>
  </si>
  <si>
    <t xml:space="preserve">Colour legend</t>
  </si>
  <si>
    <t xml:space="preserve">Purpose = blue tint · Partnership = green tint · Processes = orange tint · Excellence = purple tint · Gold = read-only or governance-critical cells.</t>
  </si>
  <si>
    <t xml:space="preserve">Upload workflow</t>
  </si>
  <si>
    <t xml:space="preserve">1. Edit this file → 2. Save → 3. In the HPC Diagnostic Tool, open Admin → 'Upload configuration' → 4. The tool validates the schema, previews the diff (added / removed / changed questions and departments), 5. Admin confirms → 6. The tool applies the new configuration and appends an entry to Change Log.</t>
  </si>
  <si>
    <t xml:space="preserve">Question ID</t>
  </si>
  <si>
    <t xml:space="preserve">Pillar</t>
  </si>
  <si>
    <t xml:space="preserve">Question Text</t>
  </si>
  <si>
    <t xml:space="preserve">Active / Inactive</t>
  </si>
  <si>
    <t xml:space="preserve">Display Order</t>
  </si>
  <si>
    <t xml:space="preserve">PERILL Sub-driver</t>
  </si>
  <si>
    <t xml:space="preserve">Optional Notes</t>
  </si>
  <si>
    <t xml:space="preserve">Q01</t>
  </si>
  <si>
    <t xml:space="preserve">Purpose</t>
  </si>
  <si>
    <t xml:space="preserve">Our team has a clear and compelling vision that guides our work.</t>
  </si>
  <si>
    <t xml:space="preserve">Active</t>
  </si>
  <si>
    <t xml:space="preserve">Vision</t>
  </si>
  <si>
    <t xml:space="preserve">Q02</t>
  </si>
  <si>
    <t xml:space="preserve">I understand how my role contributes to the organization's overall mission.</t>
  </si>
  <si>
    <t xml:space="preserve">Mission alignment</t>
  </si>
  <si>
    <t xml:space="preserve">Q03</t>
  </si>
  <si>
    <t xml:space="preserve">Our strategic priorities are clearly communicated and consistently reinforced by leadership.</t>
  </si>
  <si>
    <t xml:space="preserve">Strategic priorities</t>
  </si>
  <si>
    <t xml:space="preserve">Q04</t>
  </si>
  <si>
    <t xml:space="preserve">Our department maintains a strong focus on serving the needs of our customers.</t>
  </si>
  <si>
    <t xml:space="preserve">Customer focus</t>
  </si>
  <si>
    <t xml:space="preserve">Q05</t>
  </si>
  <si>
    <t xml:space="preserve">Team members share common goals and work together toward the same outcomes.</t>
  </si>
  <si>
    <t xml:space="preserve">Shared goals</t>
  </si>
  <si>
    <t xml:space="preserve">Q06</t>
  </si>
  <si>
    <t xml:space="preserve">My daily work is meaningfully aligned with the organization's strategic objectives.</t>
  </si>
  <si>
    <t xml:space="preserve">Strategy alignment</t>
  </si>
  <si>
    <t xml:space="preserve">Q07</t>
  </si>
  <si>
    <t xml:space="preserve">Leadership regularly connects our team's work to broader business outcomes.</t>
  </si>
  <si>
    <t xml:space="preserve">Line-of-sight</t>
  </si>
  <si>
    <t xml:space="preserve">Q08</t>
  </si>
  <si>
    <t xml:space="preserve">Our team's purpose is well understood by our internal and external stakeholders.</t>
  </si>
  <si>
    <t xml:space="preserve">External clarity of purpose</t>
  </si>
  <si>
    <t xml:space="preserve">Q09</t>
  </si>
  <si>
    <t xml:space="preserve">When priorities change, leadership clearly explains the reasons and the new direction.</t>
  </si>
  <si>
    <t xml:space="preserve">Change communication</t>
  </si>
  <si>
    <t xml:space="preserve">Q10</t>
  </si>
  <si>
    <t xml:space="preserve">I feel a strong sense of purpose and meaning in the work I do here.</t>
  </si>
  <si>
    <t xml:space="preserve">Personal meaning</t>
  </si>
  <si>
    <t xml:space="preserve">Q11</t>
  </si>
  <si>
    <t xml:space="preserve">Partnership</t>
  </si>
  <si>
    <t xml:space="preserve">Our leaders demonstrate the behaviors expected of a high-performing culture.</t>
  </si>
  <si>
    <t xml:space="preserve">Leadership effectiveness</t>
  </si>
  <si>
    <t xml:space="preserve">Q12</t>
  </si>
  <si>
    <t xml:space="preserve">Our team manages stakeholder relationships effectively and professionally.</t>
  </si>
  <si>
    <t xml:space="preserve">Stakeholder management</t>
  </si>
  <si>
    <t xml:space="preserve">Q13</t>
  </si>
  <si>
    <t xml:space="preserve">Relationships within our team are characterized by mutual respect and trust.</t>
  </si>
  <si>
    <t xml:space="preserve">Team relationships</t>
  </si>
  <si>
    <t xml:space="preserve">Q14</t>
  </si>
  <si>
    <t xml:space="preserve">Cross-functional collaboration between departments is effective and productive.</t>
  </si>
  <si>
    <t xml:space="preserve">Cross-functional collaboration</t>
  </si>
  <si>
    <t xml:space="preserve">Q15</t>
  </si>
  <si>
    <t xml:space="preserve">Internal communication within our team is timely, clear, and consistent.</t>
  </si>
  <si>
    <t xml:space="preserve">Internal communication</t>
  </si>
  <si>
    <t xml:space="preserve">Q16</t>
  </si>
  <si>
    <t xml:space="preserve">External communication with customers, partners, and stakeholders is well-managed.</t>
  </si>
  <si>
    <t xml:space="preserve">External communication</t>
  </si>
  <si>
    <t xml:space="preserve">Q17</t>
  </si>
  <si>
    <t xml:space="preserve">I feel psychologically safe to speak up, raise concerns, and challenge ideas.</t>
  </si>
  <si>
    <t xml:space="preserve">Psychological safety</t>
  </si>
  <si>
    <t xml:space="preserve">Q18</t>
  </si>
  <si>
    <t xml:space="preserve">Conflicts within our team are addressed constructively and resolved in a timely manner.</t>
  </si>
  <si>
    <t xml:space="preserve">Conflict resolution</t>
  </si>
  <si>
    <t xml:space="preserve">Q19</t>
  </si>
  <si>
    <t xml:space="preserve">Leaders actively listen and act on feedback from team members.</t>
  </si>
  <si>
    <t xml:space="preserve">Leader responsiveness</t>
  </si>
  <si>
    <t xml:space="preserve">Q20</t>
  </si>
  <si>
    <t xml:space="preserve">Our team consistently builds and sustains strong working partnerships with other departments.</t>
  </si>
  <si>
    <t xml:space="preserve">Enterprise partnership</t>
  </si>
  <si>
    <t xml:space="preserve">Q21</t>
  </si>
  <si>
    <t xml:space="preserve">Processes</t>
  </si>
  <si>
    <t xml:space="preserve">Our internal processes and workflows enable us to deliver work efficiently.</t>
  </si>
  <si>
    <t xml:space="preserve">Internal processes</t>
  </si>
  <si>
    <t xml:space="preserve">Q22</t>
  </si>
  <si>
    <t xml:space="preserve">Processes involving external parties (customers, vendors, partners) work smoothly.</t>
  </si>
  <si>
    <t xml:space="preserve">External processes</t>
  </si>
  <si>
    <t xml:space="preserve">Q23</t>
  </si>
  <si>
    <t xml:space="preserve">The systems we use support our work effectively and reliably.</t>
  </si>
  <si>
    <t xml:space="preserve">Systems</t>
  </si>
  <si>
    <t xml:space="preserve">Q24</t>
  </si>
  <si>
    <t xml:space="preserve">We have the right tools to perform our roles at a high standard.</t>
  </si>
  <si>
    <t xml:space="preserve">Tools</t>
  </si>
  <si>
    <t xml:space="preserve">Q25</t>
  </si>
  <si>
    <t xml:space="preserve">Our equipment and infrastructure meet the needs of our work.</t>
  </si>
  <si>
    <t xml:space="preserve">Equipment</t>
  </si>
  <si>
    <t xml:space="preserve">Q26</t>
  </si>
  <si>
    <t xml:space="preserve">Our ways of working are well-defined, understood, and consistently applied.</t>
  </si>
  <si>
    <t xml:space="preserve">Ways of working</t>
  </si>
  <si>
    <t xml:space="preserve">Q27</t>
  </si>
  <si>
    <t xml:space="preserve">Decisions in our team are made in a timely, transparent, and effective manner.</t>
  </si>
  <si>
    <t xml:space="preserve">Decision-making</t>
  </si>
  <si>
    <t xml:space="preserve">Q28</t>
  </si>
  <si>
    <t xml:space="preserve">Governance mechanisms clearly define roles, responsibilities, and accountabilities.</t>
  </si>
  <si>
    <t xml:space="preserve">Governance &amp; accountability</t>
  </si>
  <si>
    <t xml:space="preserve">Q29</t>
  </si>
  <si>
    <t xml:space="preserve">When processes are not working, we have effective ways to identify and improve them.</t>
  </si>
  <si>
    <t xml:space="preserve">Process improvement</t>
  </si>
  <si>
    <t xml:space="preserve">Q30</t>
  </si>
  <si>
    <t xml:space="preserve">Policies and controls in our team are practical and add value rather than creating unnecessary friction.</t>
  </si>
  <si>
    <t xml:space="preserve">Policy value</t>
  </si>
  <si>
    <t xml:space="preserve">Q31</t>
  </si>
  <si>
    <t xml:space="preserve">Excellence</t>
  </si>
  <si>
    <t xml:space="preserve">Our team invests meaningfully in learning and development opportunities.</t>
  </si>
  <si>
    <t xml:space="preserve">Learning &amp; development</t>
  </si>
  <si>
    <t xml:space="preserve">Q32</t>
  </si>
  <si>
    <t xml:space="preserve">The training available to me equips me with the skills I need to perform at a high level.</t>
  </si>
  <si>
    <t xml:space="preserve">Training</t>
  </si>
  <si>
    <t xml:space="preserve">Q33</t>
  </si>
  <si>
    <t xml:space="preserve">A growth mindset is actively encouraged and modeled in our team.</t>
  </si>
  <si>
    <t xml:space="preserve">Growth mindset</t>
  </si>
  <si>
    <t xml:space="preserve">Q34</t>
  </si>
  <si>
    <t xml:space="preserve">We continuously look for ways to improve how we work.</t>
  </si>
  <si>
    <t xml:space="preserve">Continuous improvement</t>
  </si>
  <si>
    <t xml:space="preserve">Q35</t>
  </si>
  <si>
    <t xml:space="preserve">Our team actively builds the new capabilities needed to meet future business needs.</t>
  </si>
  <si>
    <t xml:space="preserve">Capability building</t>
  </si>
  <si>
    <t xml:space="preserve">Q36</t>
  </si>
  <si>
    <t xml:space="preserve">Innovation and new ideas are encouraged, tested, and adopted where appropriate.</t>
  </si>
  <si>
    <t xml:space="preserve">Innovation</t>
  </si>
  <si>
    <t xml:space="preserve">Q37</t>
  </si>
  <si>
    <t xml:space="preserve">Feedback is given and received openly, constructively, and regularly.</t>
  </si>
  <si>
    <t xml:space="preserve">Feedback culture</t>
  </si>
  <si>
    <t xml:space="preserve">Q38</t>
  </si>
  <si>
    <t xml:space="preserve">Underperformance is addressed fairly and consistently to raise overall standards.</t>
  </si>
  <si>
    <t xml:space="preserve">Performance improvement</t>
  </si>
  <si>
    <t xml:space="preserve">Q39</t>
  </si>
  <si>
    <t xml:space="preserve">We celebrate achievements and recognize high performance in meaningful ways.</t>
  </si>
  <si>
    <t xml:space="preserve">Recognition</t>
  </si>
  <si>
    <t xml:space="preserve">Q40</t>
  </si>
  <si>
    <t xml:space="preserve">Our team is committed to continuously raising performance standards, not settling for 'good enough'.</t>
  </si>
  <si>
    <t xml:space="preserve">Performance standards</t>
  </si>
  <si>
    <t xml:space="preserve">Dept ID</t>
  </si>
  <si>
    <t xml:space="preserve">Department Name</t>
  </si>
  <si>
    <t xml:space="preserve">Parent Group</t>
  </si>
  <si>
    <t xml:space="preserve">HR / Business Owner</t>
  </si>
  <si>
    <t xml:space="preserve">Notes</t>
  </si>
  <si>
    <t xml:space="preserve">D01</t>
  </si>
  <si>
    <t xml:space="preserve">Customer Experience</t>
  </si>
  <si>
    <t xml:space="preserve">Commercial</t>
  </si>
  <si>
    <t xml:space="preserve">Head of CX</t>
  </si>
  <si>
    <t xml:space="preserve">Front-line customer-facing team</t>
  </si>
  <si>
    <t xml:space="preserve">D02</t>
  </si>
  <si>
    <t xml:space="preserve">Chief Commercial Officer</t>
  </si>
  <si>
    <t xml:space="preserve">Sales, marketing and revenue management</t>
  </si>
  <si>
    <t xml:space="preserve">D03</t>
  </si>
  <si>
    <t xml:space="preserve">Operations</t>
  </si>
  <si>
    <t xml:space="preserve">Chief Operating Officer</t>
  </si>
  <si>
    <t xml:space="preserve">Includes ground and inflight operations</t>
  </si>
  <si>
    <t xml:space="preserve">D04</t>
  </si>
  <si>
    <t xml:space="preserve">Information Technology</t>
  </si>
  <si>
    <t xml:space="preserve">Corporate</t>
  </si>
  <si>
    <t xml:space="preserve">Chief Information Officer</t>
  </si>
  <si>
    <t xml:space="preserve">Enterprise-wide IT function</t>
  </si>
  <si>
    <t xml:space="preserve">D05</t>
  </si>
  <si>
    <t xml:space="preserve">People &amp; Culture</t>
  </si>
  <si>
    <t xml:space="preserve">Chief People Officer</t>
  </si>
  <si>
    <t xml:space="preserve">HR business partnering + L&amp;D + Culture</t>
  </si>
  <si>
    <t xml:space="preserve">D06</t>
  </si>
  <si>
    <t xml:space="preserve">Finance</t>
  </si>
  <si>
    <t xml:space="preserve">Chief Financial Officer</t>
  </si>
  <si>
    <t xml:space="preserve">Finance, treasury, procurement</t>
  </si>
  <si>
    <t xml:space="preserve">D07</t>
  </si>
  <si>
    <t xml:space="preserve">Cargo</t>
  </si>
  <si>
    <t xml:space="preserve">Head of Cargo</t>
  </si>
  <si>
    <t xml:space="preserve">Freight and logistics</t>
  </si>
  <si>
    <t xml:space="preserve">D08</t>
  </si>
  <si>
    <t xml:space="preserve">Cathay Academy</t>
  </si>
  <si>
    <t xml:space="preserve">Head of Cathay Academy</t>
  </si>
  <si>
    <t xml:space="preserve">Enterprise learning and capability</t>
  </si>
  <si>
    <t xml:space="preserve">How to use:</t>
  </si>
  <si>
    <t xml:space="preserve">Add a new department by writing a new Dept ID and Name in a blank row. Retire a department by setting Active / Inactive to 'Inactive' — historical responses are preserved.</t>
  </si>
  <si>
    <t xml:space="preserve">Setting Key</t>
  </si>
  <si>
    <t xml:space="preserve">Value</t>
  </si>
  <si>
    <t xml:space="preserve">Description</t>
  </si>
  <si>
    <t xml:space="preserve">tool_version</t>
  </si>
  <si>
    <t xml:space="preserve">1.0</t>
  </si>
  <si>
    <t xml:space="preserve">Version of the diagnostic tool this config file targets.</t>
  </si>
  <si>
    <t xml:space="preserve">Read-only</t>
  </si>
  <si>
    <t xml:space="preserve">schema_version</t>
  </si>
  <si>
    <t xml:space="preserve">HPC-CONFIG-v1</t>
  </si>
  <si>
    <t xml:space="preserve">Schema tag used by the tool to validate uploads. Do not edit.</t>
  </si>
  <si>
    <t xml:space="preserve">last_updated_date</t>
  </si>
  <si>
    <t xml:space="preserve">2026-07-21</t>
  </si>
  <si>
    <t xml:space="preserve">Auto-stamped on upload. Overwritten by the tool.</t>
  </si>
  <si>
    <t xml:space="preserve">last_updated_by</t>
  </si>
  <si>
    <t xml:space="preserve">Organization Development</t>
  </si>
  <si>
    <t xml:space="preserve">Owner who last approved this configuration.</t>
  </si>
  <si>
    <t xml:space="preserve">Editable</t>
  </si>
  <si>
    <t xml:space="preserve">scale_min</t>
  </si>
  <si>
    <t xml:space="preserve">Minimum value on the rating scale.</t>
  </si>
  <si>
    <t xml:space="preserve">scale_max</t>
  </si>
  <si>
    <t xml:space="preserve">Maximum value on the rating scale.</t>
  </si>
  <si>
    <t xml:space="preserve">scale_label_min</t>
  </si>
  <si>
    <t xml:space="preserve">Strongly Disagree / Very Poor</t>
  </si>
  <si>
    <t xml:space="preserve">Text shown next to the low end of the scale.</t>
  </si>
  <si>
    <t xml:space="preserve">scale_label_max</t>
  </si>
  <si>
    <t xml:space="preserve">Strongly Agree / Excellent</t>
  </si>
  <si>
    <t xml:space="preserve">Text shown next to the high end of the scale.</t>
  </si>
  <si>
    <t xml:space="preserve">band_dysfunctional_max</t>
  </si>
  <si>
    <t xml:space="preserve">Upper bound of the Dysfunctional Culture band.</t>
  </si>
  <si>
    <t xml:space="preserve">band_balanced_max</t>
  </si>
  <si>
    <t xml:space="preserve">Upper bound of the Balanced Culture band.</t>
  </si>
  <si>
    <t xml:space="preserve">band_performing_max</t>
  </si>
  <si>
    <t xml:space="preserve">Upper bound of the Performing Culture band.</t>
  </si>
  <si>
    <t xml:space="preserve">band_high_max</t>
  </si>
  <si>
    <t xml:space="preserve">Upper bound of the High Performance Culture band.</t>
  </si>
  <si>
    <t xml:space="preserve">imbalance_moderate_max</t>
  </si>
  <si>
    <t xml:space="preserve">Pillar gap at which imbalance triggers an automatic downgrade.</t>
  </si>
  <si>
    <t xml:space="preserve">imbalance_wellbalanced_max</t>
  </si>
  <si>
    <t xml:space="preserve">Pillar gap ceiling for a 'Well balanced' classification.</t>
  </si>
  <si>
    <t xml:space="preserve">min_responses_dept</t>
  </si>
  <si>
    <t xml:space="preserve">Minimum number of respondents per department for confident reporting.</t>
  </si>
  <si>
    <t xml:space="preserve">anonymous_mode</t>
  </si>
  <si>
    <t xml:space="preserve">TRUE</t>
  </si>
  <si>
    <t xml:space="preserve">TRUE = collect responses without Respondent ID. FALSE = collect identifiers.</t>
  </si>
  <si>
    <t xml:space="preserve">allow_department_add</t>
  </si>
  <si>
    <t xml:space="preserve">Allow admin to add new departments in this file. Set FALSE to lock the list.</t>
  </si>
  <si>
    <t xml:space="preserve">allow_question_add</t>
  </si>
  <si>
    <t xml:space="preserve">Allow admin to add new questions in this file. Set FALSE to lock the bank.</t>
  </si>
  <si>
    <t xml:space="preserve">report_title</t>
  </si>
  <si>
    <t xml:space="preserve">High Performance Culture Diagnostic Report</t>
  </si>
  <si>
    <t xml:space="preserve">Title used on the exported PDF.</t>
  </si>
  <si>
    <t xml:space="preserve">Date</t>
  </si>
  <si>
    <t xml:space="preserve">Changed By</t>
  </si>
  <si>
    <t xml:space="preserve">Change Type</t>
  </si>
  <si>
    <t xml:space="preserve">Item Affected</t>
  </si>
  <si>
    <t xml:space="preserve">Summary of Change</t>
  </si>
  <si>
    <t xml:space="preserve">Reason / Approval</t>
  </si>
  <si>
    <t xml:space="preserve">Initial baseline</t>
  </si>
  <si>
    <t xml:space="preserve">All</t>
  </si>
  <si>
    <t xml:space="preserve">Baseline configuration created: 40 questions, 8 departments.</t>
  </si>
  <si>
    <t xml:space="preserve">Approved for v1.0 launch.</t>
  </si>
  <si>
    <t xml:space="preserve">Question distribution by pillar (Active questions only)</t>
  </si>
  <si>
    <t xml:space="preserve">Active Questions</t>
  </si>
  <si>
    <t xml:space="preserve">% of Total</t>
  </si>
  <si>
    <t xml:space="preserve">TOTAL</t>
  </si>
  <si>
    <t xml:space="preserve">Active departments</t>
  </si>
  <si>
    <t xml:space="preserve">Metric</t>
  </si>
  <si>
    <t xml:space="preserve">Count</t>
  </si>
  <si>
    <t xml:space="preserve">Inactive / retired departments</t>
  </si>
  <si>
    <t xml:space="preserve">Total departments listed</t>
  </si>
  <si>
    <t xml:space="preserve">SYSTEM — DO NOT EDIT OR DELETE</t>
  </si>
  <si>
    <t xml:space="preserve">schema_name</t>
  </si>
  <si>
    <t xml:space="preserve">expected_sheets</t>
  </si>
  <si>
    <t xml:space="preserve">Instructions | Question Bank | Departments | Config | Change Log | Pillar Summary | _SCHEMA</t>
  </si>
  <si>
    <t xml:space="preserve">question_bank_cols</t>
  </si>
  <si>
    <t xml:space="preserve">Question ID | Pillar | Question Text | Active / Inactive | Display Order | PERILL Sub-driver | Optional Notes</t>
  </si>
  <si>
    <t xml:space="preserve">departments_cols</t>
  </si>
  <si>
    <t xml:space="preserve">Dept ID | Department Name | Parent Group | Active / Inactive | Display Order | HR / Business Owner | Notes</t>
  </si>
  <si>
    <t xml:space="preserve">config_cols</t>
  </si>
  <si>
    <t xml:space="preserve">Setting Key | Value | Description | Governance</t>
  </si>
  <si>
    <t xml:space="preserve">change_log_cols</t>
  </si>
  <si>
    <t xml:space="preserve">Date | Changed By | Change Type | Item Affected | Summary of Change | Reason / Approval</t>
  </si>
  <si>
    <t xml:space="preserve">pillars_allowed</t>
  </si>
  <si>
    <t xml:space="preserve">Purpose | Partnership | Processes | Excellence</t>
  </si>
  <si>
    <t xml:space="preserve">scale_range</t>
  </si>
  <si>
    <t xml:space="preserve">1-10 integer</t>
  </si>
  <si>
    <t xml:space="preserve">read_only</t>
  </si>
</sst>
</file>

<file path=xl/styles.xml><?xml version="1.0" encoding="utf-8"?>
<styleSheet xmlns="http://schemas.openxmlformats.org/spreadsheetml/2006/main">
  <numFmts count="2">
    <numFmt numFmtId="164" formatCode="General"/>
    <numFmt numFmtId="165" formatCode="0.0%"/>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595959"/>
      <name val="Arial"/>
      <family val="0"/>
      <charset val="1"/>
    </font>
    <font>
      <b val="true"/>
      <sz val="11"/>
      <color rgb="FF1F3864"/>
      <name val="Arial"/>
      <family val="0"/>
      <charset val="1"/>
    </font>
    <font>
      <sz val="11"/>
      <name val="Arial"/>
      <family val="0"/>
      <charset val="1"/>
    </font>
    <font>
      <b val="true"/>
      <sz val="11"/>
      <color rgb="FFFFFFFF"/>
      <name val="Arial"/>
      <family val="0"/>
      <charset val="1"/>
    </font>
    <font>
      <b val="true"/>
      <sz val="11"/>
      <name val="Arial"/>
      <family val="0"/>
      <charset val="1"/>
    </font>
    <font>
      <b val="true"/>
      <i val="true"/>
      <sz val="10"/>
      <color rgb="FF1F3864"/>
      <name val="Arial"/>
      <family val="0"/>
      <charset val="1"/>
    </font>
    <font>
      <i val="true"/>
      <sz val="10"/>
      <color rgb="FF595959"/>
      <name val="Arial"/>
      <family val="0"/>
      <charset val="1"/>
    </font>
    <font>
      <b val="true"/>
      <sz val="13"/>
      <color rgb="FF1F3864"/>
      <name val="Arial"/>
      <family val="0"/>
      <charset val="1"/>
    </font>
    <font>
      <sz val="11"/>
      <color rgb="FF595959"/>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D9E2F3"/>
        <bgColor rgb="FFE7EEF7"/>
      </patternFill>
    </fill>
    <fill>
      <patternFill patternType="solid">
        <fgColor rgb="FFE7EEF7"/>
        <bgColor rgb="FFEAF3EA"/>
      </patternFill>
    </fill>
    <fill>
      <patternFill patternType="solid">
        <fgColor rgb="FFEAF3EA"/>
        <bgColor rgb="FFE7EEF7"/>
      </patternFill>
    </fill>
    <fill>
      <patternFill patternType="solid">
        <fgColor rgb="FFFFF4E5"/>
        <bgColor rgb="FFFFF2CC"/>
      </patternFill>
    </fill>
    <fill>
      <patternFill patternType="solid">
        <fgColor rgb="FFF5E9F2"/>
        <bgColor rgb="FFE7EEF7"/>
      </patternFill>
    </fill>
    <fill>
      <patternFill patternType="solid">
        <fgColor rgb="FFFFFFFF"/>
        <bgColor rgb="FFFFF4E5"/>
      </patternFill>
    </fill>
    <fill>
      <patternFill patternType="solid">
        <fgColor rgb="FFFFF2CC"/>
        <bgColor rgb="FFFFF4E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true" indent="1"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xf numFmtId="164" fontId="13" fillId="9"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EE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AF3EA"/>
      <rgbColor rgb="FFF5E9F2"/>
      <rgbColor rgb="FFFFF4E5"/>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6" min="2" style="0" width="22"/>
  </cols>
  <sheetData>
    <row r="1" customFormat="false" ht="36" hidden="false" customHeight="true" outlineLevel="0" collapsed="false">
      <c r="A1" s="1" t="s">
        <v>0</v>
      </c>
      <c r="B1" s="1"/>
      <c r="C1" s="1"/>
      <c r="D1" s="1"/>
      <c r="E1" s="1"/>
      <c r="F1" s="1"/>
    </row>
    <row r="2" customFormat="false" ht="42" hidden="false" customHeight="true" outlineLevel="0" collapsed="false">
      <c r="A2" s="2" t="s">
        <v>1</v>
      </c>
      <c r="B2" s="2"/>
      <c r="C2" s="2"/>
      <c r="D2" s="2"/>
      <c r="E2" s="2"/>
      <c r="F2" s="2"/>
    </row>
    <row r="4" customFormat="false" ht="60" hidden="false" customHeight="true" outlineLevel="0" collapsed="false">
      <c r="A4" s="3" t="s">
        <v>2</v>
      </c>
      <c r="B4" s="4" t="s">
        <v>3</v>
      </c>
      <c r="C4" s="4"/>
      <c r="D4" s="4"/>
      <c r="E4" s="4"/>
      <c r="F4" s="4"/>
    </row>
    <row r="5" customFormat="false" ht="60" hidden="false" customHeight="true" outlineLevel="0" collapsed="false">
      <c r="A5" s="3" t="s">
        <v>4</v>
      </c>
      <c r="B5" s="4" t="s">
        <v>5</v>
      </c>
      <c r="C5" s="4"/>
      <c r="D5" s="4"/>
      <c r="E5" s="4"/>
      <c r="F5" s="4"/>
    </row>
    <row r="6" customFormat="false" ht="60" hidden="false" customHeight="true" outlineLevel="0" collapsed="false">
      <c r="A6" s="3" t="s">
        <v>6</v>
      </c>
      <c r="B6" s="4" t="s">
        <v>7</v>
      </c>
      <c r="C6" s="4"/>
      <c r="D6" s="4"/>
      <c r="E6" s="4"/>
      <c r="F6" s="4"/>
    </row>
    <row r="7" customFormat="false" ht="60" hidden="false" customHeight="true" outlineLevel="0" collapsed="false">
      <c r="A7" s="3" t="s">
        <v>8</v>
      </c>
      <c r="B7" s="4" t="s">
        <v>9</v>
      </c>
      <c r="C7" s="4"/>
      <c r="D7" s="4"/>
      <c r="E7" s="4"/>
      <c r="F7" s="4"/>
    </row>
    <row r="8" customFormat="false" ht="60" hidden="false" customHeight="true" outlineLevel="0" collapsed="false">
      <c r="A8" s="3" t="s">
        <v>10</v>
      </c>
      <c r="B8" s="4" t="s">
        <v>11</v>
      </c>
      <c r="C8" s="4"/>
      <c r="D8" s="4"/>
      <c r="E8" s="4"/>
      <c r="F8" s="4"/>
    </row>
    <row r="9" customFormat="false" ht="60" hidden="false" customHeight="true" outlineLevel="0" collapsed="false">
      <c r="A9" s="3" t="s">
        <v>12</v>
      </c>
      <c r="B9" s="4" t="s">
        <v>13</v>
      </c>
      <c r="C9" s="4"/>
      <c r="D9" s="4"/>
      <c r="E9" s="4"/>
      <c r="F9" s="4"/>
    </row>
    <row r="10" customFormat="false" ht="60" hidden="false" customHeight="true" outlineLevel="0" collapsed="false">
      <c r="A10" s="3" t="s">
        <v>14</v>
      </c>
      <c r="B10" s="4" t="s">
        <v>15</v>
      </c>
      <c r="C10" s="4"/>
      <c r="D10" s="4"/>
      <c r="E10" s="4"/>
      <c r="F10" s="4"/>
    </row>
    <row r="11" customFormat="false" ht="60" hidden="false" customHeight="true" outlineLevel="0" collapsed="false">
      <c r="A11" s="3" t="s">
        <v>16</v>
      </c>
      <c r="B11" s="4" t="s">
        <v>17</v>
      </c>
      <c r="C11" s="4"/>
      <c r="D11" s="4"/>
      <c r="E11" s="4"/>
      <c r="F11" s="4"/>
    </row>
    <row r="13" customFormat="false" ht="75.75" hidden="false" customHeight="true" outlineLevel="0" collapsed="false">
      <c r="A13" s="5" t="s">
        <v>18</v>
      </c>
      <c r="B13" s="6" t="s">
        <v>19</v>
      </c>
      <c r="C13" s="6"/>
      <c r="D13" s="6"/>
      <c r="E13" s="6"/>
      <c r="F13" s="6"/>
    </row>
  </sheetData>
  <mergeCells count="11">
    <mergeCell ref="A1:F1"/>
    <mergeCell ref="A2:F2"/>
    <mergeCell ref="B4:F4"/>
    <mergeCell ref="B5:F5"/>
    <mergeCell ref="B6:F6"/>
    <mergeCell ref="B7:F7"/>
    <mergeCell ref="B8:F8"/>
    <mergeCell ref="B9:F9"/>
    <mergeCell ref="B10:F10"/>
    <mergeCell ref="B11:F11"/>
    <mergeCell ref="B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66"/>
    <col collapsed="false" customWidth="true" hidden="false" outlineLevel="0" max="4" min="4" style="0" width="18"/>
    <col collapsed="false" customWidth="true" hidden="false" outlineLevel="0" max="5" min="5" style="0" width="14"/>
    <col collapsed="false" customWidth="true" hidden="false" outlineLevel="0" max="6" min="6" style="0" width="24"/>
    <col collapsed="false" customWidth="true" hidden="false" outlineLevel="0" max="7" min="7" style="0" width="30"/>
  </cols>
  <sheetData>
    <row r="1" customFormat="false" ht="33.75" hidden="false" customHeight="true" outlineLevel="0" collapsed="false">
      <c r="A1" s="7" t="s">
        <v>20</v>
      </c>
      <c r="B1" s="7" t="s">
        <v>21</v>
      </c>
      <c r="C1" s="7" t="s">
        <v>22</v>
      </c>
      <c r="D1" s="7" t="s">
        <v>23</v>
      </c>
      <c r="E1" s="7" t="s">
        <v>24</v>
      </c>
      <c r="F1" s="7" t="s">
        <v>25</v>
      </c>
      <c r="G1" s="7" t="s">
        <v>26</v>
      </c>
    </row>
    <row r="2" customFormat="false" ht="15" hidden="false" customHeight="false" outlineLevel="0" collapsed="false">
      <c r="A2" s="8" t="s">
        <v>27</v>
      </c>
      <c r="B2" s="9" t="s">
        <v>28</v>
      </c>
      <c r="C2" s="9" t="s">
        <v>29</v>
      </c>
      <c r="D2" s="9" t="s">
        <v>30</v>
      </c>
      <c r="E2" s="9" t="n">
        <v>1</v>
      </c>
      <c r="F2" s="9" t="s">
        <v>31</v>
      </c>
      <c r="G2" s="9"/>
    </row>
    <row r="3" customFormat="false" ht="26.85" hidden="false" customHeight="false" outlineLevel="0" collapsed="false">
      <c r="A3" s="8" t="s">
        <v>32</v>
      </c>
      <c r="B3" s="9" t="s">
        <v>28</v>
      </c>
      <c r="C3" s="9" t="s">
        <v>33</v>
      </c>
      <c r="D3" s="9" t="s">
        <v>30</v>
      </c>
      <c r="E3" s="9" t="n">
        <v>2</v>
      </c>
      <c r="F3" s="9" t="s">
        <v>34</v>
      </c>
      <c r="G3" s="9"/>
    </row>
    <row r="4" customFormat="false" ht="26.85" hidden="false" customHeight="false" outlineLevel="0" collapsed="false">
      <c r="A4" s="8" t="s">
        <v>35</v>
      </c>
      <c r="B4" s="9" t="s">
        <v>28</v>
      </c>
      <c r="C4" s="9" t="s">
        <v>36</v>
      </c>
      <c r="D4" s="9" t="s">
        <v>30</v>
      </c>
      <c r="E4" s="9" t="n">
        <v>3</v>
      </c>
      <c r="F4" s="9" t="s">
        <v>37</v>
      </c>
      <c r="G4" s="9"/>
    </row>
    <row r="5" customFormat="false" ht="26.85" hidden="false" customHeight="false" outlineLevel="0" collapsed="false">
      <c r="A5" s="8" t="s">
        <v>38</v>
      </c>
      <c r="B5" s="9" t="s">
        <v>28</v>
      </c>
      <c r="C5" s="9" t="s">
        <v>39</v>
      </c>
      <c r="D5" s="9" t="s">
        <v>30</v>
      </c>
      <c r="E5" s="9" t="n">
        <v>4</v>
      </c>
      <c r="F5" s="9" t="s">
        <v>40</v>
      </c>
      <c r="G5" s="9"/>
    </row>
    <row r="6" customFormat="false" ht="26.85" hidden="false" customHeight="false" outlineLevel="0" collapsed="false">
      <c r="A6" s="8" t="s">
        <v>41</v>
      </c>
      <c r="B6" s="9" t="s">
        <v>28</v>
      </c>
      <c r="C6" s="9" t="s">
        <v>42</v>
      </c>
      <c r="D6" s="9" t="s">
        <v>30</v>
      </c>
      <c r="E6" s="9" t="n">
        <v>5</v>
      </c>
      <c r="F6" s="9" t="s">
        <v>43</v>
      </c>
      <c r="G6" s="9"/>
    </row>
    <row r="7" customFormat="false" ht="26.85" hidden="false" customHeight="false" outlineLevel="0" collapsed="false">
      <c r="A7" s="8" t="s">
        <v>44</v>
      </c>
      <c r="B7" s="9" t="s">
        <v>28</v>
      </c>
      <c r="C7" s="9" t="s">
        <v>45</v>
      </c>
      <c r="D7" s="9" t="s">
        <v>30</v>
      </c>
      <c r="E7" s="9" t="n">
        <v>6</v>
      </c>
      <c r="F7" s="9" t="s">
        <v>46</v>
      </c>
      <c r="G7" s="9"/>
    </row>
    <row r="8" customFormat="false" ht="26.85" hidden="false" customHeight="false" outlineLevel="0" collapsed="false">
      <c r="A8" s="8" t="s">
        <v>47</v>
      </c>
      <c r="B8" s="9" t="s">
        <v>28</v>
      </c>
      <c r="C8" s="9" t="s">
        <v>48</v>
      </c>
      <c r="D8" s="9" t="s">
        <v>30</v>
      </c>
      <c r="E8" s="9" t="n">
        <v>7</v>
      </c>
      <c r="F8" s="9" t="s">
        <v>49</v>
      </c>
      <c r="G8" s="9"/>
    </row>
    <row r="9" customFormat="false" ht="26.85" hidden="false" customHeight="false" outlineLevel="0" collapsed="false">
      <c r="A9" s="8" t="s">
        <v>50</v>
      </c>
      <c r="B9" s="9" t="s">
        <v>28</v>
      </c>
      <c r="C9" s="9" t="s">
        <v>51</v>
      </c>
      <c r="D9" s="9" t="s">
        <v>30</v>
      </c>
      <c r="E9" s="9" t="n">
        <v>8</v>
      </c>
      <c r="F9" s="9" t="s">
        <v>52</v>
      </c>
      <c r="G9" s="9"/>
    </row>
    <row r="10" customFormat="false" ht="26.85" hidden="false" customHeight="false" outlineLevel="0" collapsed="false">
      <c r="A10" s="8" t="s">
        <v>53</v>
      </c>
      <c r="B10" s="9" t="s">
        <v>28</v>
      </c>
      <c r="C10" s="9" t="s">
        <v>54</v>
      </c>
      <c r="D10" s="9" t="s">
        <v>30</v>
      </c>
      <c r="E10" s="9" t="n">
        <v>9</v>
      </c>
      <c r="F10" s="9" t="s">
        <v>55</v>
      </c>
      <c r="G10" s="9"/>
    </row>
    <row r="11" customFormat="false" ht="15" hidden="false" customHeight="false" outlineLevel="0" collapsed="false">
      <c r="A11" s="8" t="s">
        <v>56</v>
      </c>
      <c r="B11" s="9" t="s">
        <v>28</v>
      </c>
      <c r="C11" s="9" t="s">
        <v>57</v>
      </c>
      <c r="D11" s="9" t="s">
        <v>30</v>
      </c>
      <c r="E11" s="9" t="n">
        <v>10</v>
      </c>
      <c r="F11" s="9" t="s">
        <v>58</v>
      </c>
      <c r="G11" s="9"/>
    </row>
    <row r="12" customFormat="false" ht="26.85" hidden="false" customHeight="false" outlineLevel="0" collapsed="false">
      <c r="A12" s="10" t="s">
        <v>59</v>
      </c>
      <c r="B12" s="11" t="s">
        <v>60</v>
      </c>
      <c r="C12" s="11" t="s">
        <v>61</v>
      </c>
      <c r="D12" s="11" t="s">
        <v>30</v>
      </c>
      <c r="E12" s="11" t="n">
        <v>11</v>
      </c>
      <c r="F12" s="11" t="s">
        <v>62</v>
      </c>
      <c r="G12" s="11"/>
    </row>
    <row r="13" customFormat="false" ht="26.85" hidden="false" customHeight="false" outlineLevel="0" collapsed="false">
      <c r="A13" s="10" t="s">
        <v>63</v>
      </c>
      <c r="B13" s="11" t="s">
        <v>60</v>
      </c>
      <c r="C13" s="11" t="s">
        <v>64</v>
      </c>
      <c r="D13" s="11" t="s">
        <v>30</v>
      </c>
      <c r="E13" s="11" t="n">
        <v>12</v>
      </c>
      <c r="F13" s="11" t="s">
        <v>65</v>
      </c>
      <c r="G13" s="11"/>
    </row>
    <row r="14" customFormat="false" ht="26.85" hidden="false" customHeight="false" outlineLevel="0" collapsed="false">
      <c r="A14" s="10" t="s">
        <v>66</v>
      </c>
      <c r="B14" s="11" t="s">
        <v>60</v>
      </c>
      <c r="C14" s="11" t="s">
        <v>67</v>
      </c>
      <c r="D14" s="11" t="s">
        <v>30</v>
      </c>
      <c r="E14" s="11" t="n">
        <v>13</v>
      </c>
      <c r="F14" s="11" t="s">
        <v>68</v>
      </c>
      <c r="G14" s="11"/>
    </row>
    <row r="15" customFormat="false" ht="26.85" hidden="false" customHeight="false" outlineLevel="0" collapsed="false">
      <c r="A15" s="10" t="s">
        <v>69</v>
      </c>
      <c r="B15" s="11" t="s">
        <v>60</v>
      </c>
      <c r="C15" s="11" t="s">
        <v>70</v>
      </c>
      <c r="D15" s="11" t="s">
        <v>30</v>
      </c>
      <c r="E15" s="11" t="n">
        <v>14</v>
      </c>
      <c r="F15" s="11" t="s">
        <v>71</v>
      </c>
      <c r="G15" s="11"/>
    </row>
    <row r="16" customFormat="false" ht="15" hidden="false" customHeight="false" outlineLevel="0" collapsed="false">
      <c r="A16" s="10" t="s">
        <v>72</v>
      </c>
      <c r="B16" s="11" t="s">
        <v>60</v>
      </c>
      <c r="C16" s="11" t="s">
        <v>73</v>
      </c>
      <c r="D16" s="11" t="s">
        <v>30</v>
      </c>
      <c r="E16" s="11" t="n">
        <v>15</v>
      </c>
      <c r="F16" s="11" t="s">
        <v>74</v>
      </c>
      <c r="G16" s="11"/>
    </row>
    <row r="17" customFormat="false" ht="26.85" hidden="false" customHeight="false" outlineLevel="0" collapsed="false">
      <c r="A17" s="10" t="s">
        <v>75</v>
      </c>
      <c r="B17" s="11" t="s">
        <v>60</v>
      </c>
      <c r="C17" s="11" t="s">
        <v>76</v>
      </c>
      <c r="D17" s="11" t="s">
        <v>30</v>
      </c>
      <c r="E17" s="11" t="n">
        <v>16</v>
      </c>
      <c r="F17" s="11" t="s">
        <v>77</v>
      </c>
      <c r="G17" s="11"/>
    </row>
    <row r="18" customFormat="false" ht="26.85" hidden="false" customHeight="false" outlineLevel="0" collapsed="false">
      <c r="A18" s="10" t="s">
        <v>78</v>
      </c>
      <c r="B18" s="11" t="s">
        <v>60</v>
      </c>
      <c r="C18" s="11" t="s">
        <v>79</v>
      </c>
      <c r="D18" s="11" t="s">
        <v>30</v>
      </c>
      <c r="E18" s="11" t="n">
        <v>17</v>
      </c>
      <c r="F18" s="11" t="s">
        <v>80</v>
      </c>
      <c r="G18" s="11"/>
    </row>
    <row r="19" customFormat="false" ht="26.85" hidden="false" customHeight="false" outlineLevel="0" collapsed="false">
      <c r="A19" s="10" t="s">
        <v>81</v>
      </c>
      <c r="B19" s="11" t="s">
        <v>60</v>
      </c>
      <c r="C19" s="11" t="s">
        <v>82</v>
      </c>
      <c r="D19" s="11" t="s">
        <v>30</v>
      </c>
      <c r="E19" s="11" t="n">
        <v>18</v>
      </c>
      <c r="F19" s="11" t="s">
        <v>83</v>
      </c>
      <c r="G19" s="11"/>
    </row>
    <row r="20" customFormat="false" ht="15" hidden="false" customHeight="false" outlineLevel="0" collapsed="false">
      <c r="A20" s="10" t="s">
        <v>84</v>
      </c>
      <c r="B20" s="11" t="s">
        <v>60</v>
      </c>
      <c r="C20" s="11" t="s">
        <v>85</v>
      </c>
      <c r="D20" s="11" t="s">
        <v>30</v>
      </c>
      <c r="E20" s="11" t="n">
        <v>19</v>
      </c>
      <c r="F20" s="11" t="s">
        <v>86</v>
      </c>
      <c r="G20" s="11"/>
    </row>
    <row r="21" customFormat="false" ht="26.85" hidden="false" customHeight="false" outlineLevel="0" collapsed="false">
      <c r="A21" s="10" t="s">
        <v>87</v>
      </c>
      <c r="B21" s="11" t="s">
        <v>60</v>
      </c>
      <c r="C21" s="11" t="s">
        <v>88</v>
      </c>
      <c r="D21" s="11" t="s">
        <v>30</v>
      </c>
      <c r="E21" s="11" t="n">
        <v>20</v>
      </c>
      <c r="F21" s="11" t="s">
        <v>89</v>
      </c>
      <c r="G21" s="11"/>
    </row>
    <row r="22" customFormat="false" ht="26.85" hidden="false" customHeight="false" outlineLevel="0" collapsed="false">
      <c r="A22" s="12" t="s">
        <v>90</v>
      </c>
      <c r="B22" s="13" t="s">
        <v>91</v>
      </c>
      <c r="C22" s="13" t="s">
        <v>92</v>
      </c>
      <c r="D22" s="13" t="s">
        <v>30</v>
      </c>
      <c r="E22" s="13" t="n">
        <v>21</v>
      </c>
      <c r="F22" s="13" t="s">
        <v>93</v>
      </c>
      <c r="G22" s="13"/>
    </row>
    <row r="23" customFormat="false" ht="26.85" hidden="false" customHeight="false" outlineLevel="0" collapsed="false">
      <c r="A23" s="12" t="s">
        <v>94</v>
      </c>
      <c r="B23" s="13" t="s">
        <v>91</v>
      </c>
      <c r="C23" s="13" t="s">
        <v>95</v>
      </c>
      <c r="D23" s="13" t="s">
        <v>30</v>
      </c>
      <c r="E23" s="13" t="n">
        <v>22</v>
      </c>
      <c r="F23" s="13" t="s">
        <v>96</v>
      </c>
      <c r="G23" s="13"/>
    </row>
    <row r="24" customFormat="false" ht="15" hidden="false" customHeight="false" outlineLevel="0" collapsed="false">
      <c r="A24" s="12" t="s">
        <v>97</v>
      </c>
      <c r="B24" s="13" t="s">
        <v>91</v>
      </c>
      <c r="C24" s="13" t="s">
        <v>98</v>
      </c>
      <c r="D24" s="13" t="s">
        <v>30</v>
      </c>
      <c r="E24" s="13" t="n">
        <v>23</v>
      </c>
      <c r="F24" s="13" t="s">
        <v>99</v>
      </c>
      <c r="G24" s="13"/>
    </row>
    <row r="25" customFormat="false" ht="15" hidden="false" customHeight="false" outlineLevel="0" collapsed="false">
      <c r="A25" s="12" t="s">
        <v>100</v>
      </c>
      <c r="B25" s="13" t="s">
        <v>91</v>
      </c>
      <c r="C25" s="13" t="s">
        <v>101</v>
      </c>
      <c r="D25" s="13" t="s">
        <v>30</v>
      </c>
      <c r="E25" s="13" t="n">
        <v>24</v>
      </c>
      <c r="F25" s="13" t="s">
        <v>102</v>
      </c>
      <c r="G25" s="13"/>
    </row>
    <row r="26" customFormat="false" ht="15" hidden="false" customHeight="false" outlineLevel="0" collapsed="false">
      <c r="A26" s="12" t="s">
        <v>103</v>
      </c>
      <c r="B26" s="13" t="s">
        <v>91</v>
      </c>
      <c r="C26" s="13" t="s">
        <v>104</v>
      </c>
      <c r="D26" s="13" t="s">
        <v>30</v>
      </c>
      <c r="E26" s="13" t="n">
        <v>25</v>
      </c>
      <c r="F26" s="13" t="s">
        <v>105</v>
      </c>
      <c r="G26" s="13"/>
    </row>
    <row r="27" customFormat="false" ht="26.85" hidden="false" customHeight="false" outlineLevel="0" collapsed="false">
      <c r="A27" s="12" t="s">
        <v>106</v>
      </c>
      <c r="B27" s="13" t="s">
        <v>91</v>
      </c>
      <c r="C27" s="13" t="s">
        <v>107</v>
      </c>
      <c r="D27" s="13" t="s">
        <v>30</v>
      </c>
      <c r="E27" s="13" t="n">
        <v>26</v>
      </c>
      <c r="F27" s="13" t="s">
        <v>108</v>
      </c>
      <c r="G27" s="13"/>
    </row>
    <row r="28" customFormat="false" ht="26.85" hidden="false" customHeight="false" outlineLevel="0" collapsed="false">
      <c r="A28" s="12" t="s">
        <v>109</v>
      </c>
      <c r="B28" s="13" t="s">
        <v>91</v>
      </c>
      <c r="C28" s="13" t="s">
        <v>110</v>
      </c>
      <c r="D28" s="13" t="s">
        <v>30</v>
      </c>
      <c r="E28" s="13" t="n">
        <v>27</v>
      </c>
      <c r="F28" s="13" t="s">
        <v>111</v>
      </c>
      <c r="G28" s="13"/>
    </row>
    <row r="29" customFormat="false" ht="26.85" hidden="false" customHeight="false" outlineLevel="0" collapsed="false">
      <c r="A29" s="12" t="s">
        <v>112</v>
      </c>
      <c r="B29" s="13" t="s">
        <v>91</v>
      </c>
      <c r="C29" s="13" t="s">
        <v>113</v>
      </c>
      <c r="D29" s="13" t="s">
        <v>30</v>
      </c>
      <c r="E29" s="13" t="n">
        <v>28</v>
      </c>
      <c r="F29" s="13" t="s">
        <v>114</v>
      </c>
      <c r="G29" s="13"/>
    </row>
    <row r="30" customFormat="false" ht="26.85" hidden="false" customHeight="false" outlineLevel="0" collapsed="false">
      <c r="A30" s="12" t="s">
        <v>115</v>
      </c>
      <c r="B30" s="13" t="s">
        <v>91</v>
      </c>
      <c r="C30" s="13" t="s">
        <v>116</v>
      </c>
      <c r="D30" s="13" t="s">
        <v>30</v>
      </c>
      <c r="E30" s="13" t="n">
        <v>29</v>
      </c>
      <c r="F30" s="13" t="s">
        <v>117</v>
      </c>
      <c r="G30" s="13"/>
    </row>
    <row r="31" customFormat="false" ht="26.85" hidden="false" customHeight="false" outlineLevel="0" collapsed="false">
      <c r="A31" s="12" t="s">
        <v>118</v>
      </c>
      <c r="B31" s="13" t="s">
        <v>91</v>
      </c>
      <c r="C31" s="13" t="s">
        <v>119</v>
      </c>
      <c r="D31" s="13" t="s">
        <v>30</v>
      </c>
      <c r="E31" s="13" t="n">
        <v>30</v>
      </c>
      <c r="F31" s="13" t="s">
        <v>120</v>
      </c>
      <c r="G31" s="13"/>
    </row>
    <row r="32" customFormat="false" ht="26.85" hidden="false" customHeight="false" outlineLevel="0" collapsed="false">
      <c r="A32" s="14" t="s">
        <v>121</v>
      </c>
      <c r="B32" s="15" t="s">
        <v>122</v>
      </c>
      <c r="C32" s="15" t="s">
        <v>123</v>
      </c>
      <c r="D32" s="15" t="s">
        <v>30</v>
      </c>
      <c r="E32" s="15" t="n">
        <v>31</v>
      </c>
      <c r="F32" s="15" t="s">
        <v>124</v>
      </c>
      <c r="G32" s="15"/>
    </row>
    <row r="33" customFormat="false" ht="26.85" hidden="false" customHeight="false" outlineLevel="0" collapsed="false">
      <c r="A33" s="14" t="s">
        <v>125</v>
      </c>
      <c r="B33" s="15" t="s">
        <v>122</v>
      </c>
      <c r="C33" s="15" t="s">
        <v>126</v>
      </c>
      <c r="D33" s="15" t="s">
        <v>30</v>
      </c>
      <c r="E33" s="15" t="n">
        <v>32</v>
      </c>
      <c r="F33" s="15" t="s">
        <v>127</v>
      </c>
      <c r="G33" s="15"/>
    </row>
    <row r="34" customFormat="false" ht="15" hidden="false" customHeight="false" outlineLevel="0" collapsed="false">
      <c r="A34" s="14" t="s">
        <v>128</v>
      </c>
      <c r="B34" s="15" t="s">
        <v>122</v>
      </c>
      <c r="C34" s="15" t="s">
        <v>129</v>
      </c>
      <c r="D34" s="15" t="s">
        <v>30</v>
      </c>
      <c r="E34" s="15" t="n">
        <v>33</v>
      </c>
      <c r="F34" s="15" t="s">
        <v>130</v>
      </c>
      <c r="G34" s="15"/>
    </row>
    <row r="35" customFormat="false" ht="15" hidden="false" customHeight="false" outlineLevel="0" collapsed="false">
      <c r="A35" s="14" t="s">
        <v>131</v>
      </c>
      <c r="B35" s="15" t="s">
        <v>122</v>
      </c>
      <c r="C35" s="15" t="s">
        <v>132</v>
      </c>
      <c r="D35" s="15" t="s">
        <v>30</v>
      </c>
      <c r="E35" s="15" t="n">
        <v>34</v>
      </c>
      <c r="F35" s="15" t="s">
        <v>133</v>
      </c>
      <c r="G35" s="15"/>
    </row>
    <row r="36" customFormat="false" ht="26.85" hidden="false" customHeight="false" outlineLevel="0" collapsed="false">
      <c r="A36" s="14" t="s">
        <v>134</v>
      </c>
      <c r="B36" s="15" t="s">
        <v>122</v>
      </c>
      <c r="C36" s="15" t="s">
        <v>135</v>
      </c>
      <c r="D36" s="15" t="s">
        <v>30</v>
      </c>
      <c r="E36" s="15" t="n">
        <v>35</v>
      </c>
      <c r="F36" s="15" t="s">
        <v>136</v>
      </c>
      <c r="G36" s="15"/>
    </row>
    <row r="37" customFormat="false" ht="26.85" hidden="false" customHeight="false" outlineLevel="0" collapsed="false">
      <c r="A37" s="14" t="s">
        <v>137</v>
      </c>
      <c r="B37" s="15" t="s">
        <v>122</v>
      </c>
      <c r="C37" s="15" t="s">
        <v>138</v>
      </c>
      <c r="D37" s="15" t="s">
        <v>30</v>
      </c>
      <c r="E37" s="15" t="n">
        <v>36</v>
      </c>
      <c r="F37" s="15" t="s">
        <v>139</v>
      </c>
      <c r="G37" s="15"/>
    </row>
    <row r="38" customFormat="false" ht="15" hidden="false" customHeight="false" outlineLevel="0" collapsed="false">
      <c r="A38" s="14" t="s">
        <v>140</v>
      </c>
      <c r="B38" s="15" t="s">
        <v>122</v>
      </c>
      <c r="C38" s="15" t="s">
        <v>141</v>
      </c>
      <c r="D38" s="15" t="s">
        <v>30</v>
      </c>
      <c r="E38" s="15" t="n">
        <v>37</v>
      </c>
      <c r="F38" s="15" t="s">
        <v>142</v>
      </c>
      <c r="G38" s="15"/>
    </row>
    <row r="39" customFormat="false" ht="26.85" hidden="false" customHeight="false" outlineLevel="0" collapsed="false">
      <c r="A39" s="14" t="s">
        <v>143</v>
      </c>
      <c r="B39" s="15" t="s">
        <v>122</v>
      </c>
      <c r="C39" s="15" t="s">
        <v>144</v>
      </c>
      <c r="D39" s="15" t="s">
        <v>30</v>
      </c>
      <c r="E39" s="15" t="n">
        <v>38</v>
      </c>
      <c r="F39" s="15" t="s">
        <v>145</v>
      </c>
      <c r="G39" s="15"/>
    </row>
    <row r="40" customFormat="false" ht="26.85" hidden="false" customHeight="false" outlineLevel="0" collapsed="false">
      <c r="A40" s="14" t="s">
        <v>146</v>
      </c>
      <c r="B40" s="15" t="s">
        <v>122</v>
      </c>
      <c r="C40" s="15" t="s">
        <v>147</v>
      </c>
      <c r="D40" s="15" t="s">
        <v>30</v>
      </c>
      <c r="E40" s="15" t="n">
        <v>39</v>
      </c>
      <c r="F40" s="15" t="s">
        <v>148</v>
      </c>
      <c r="G40" s="15"/>
    </row>
    <row r="41" customFormat="false" ht="26.85" hidden="false" customHeight="false" outlineLevel="0" collapsed="false">
      <c r="A41" s="14" t="s">
        <v>149</v>
      </c>
      <c r="B41" s="15" t="s">
        <v>122</v>
      </c>
      <c r="C41" s="15" t="s">
        <v>150</v>
      </c>
      <c r="D41" s="15" t="s">
        <v>30</v>
      </c>
      <c r="E41" s="15" t="n">
        <v>40</v>
      </c>
      <c r="F41" s="15" t="s">
        <v>151</v>
      </c>
      <c r="G41" s="15"/>
    </row>
    <row r="42" customFormat="false" ht="15" hidden="false" customHeight="false" outlineLevel="0" collapsed="false">
      <c r="A42" s="16"/>
      <c r="B42" s="16"/>
      <c r="C42" s="16"/>
      <c r="D42" s="16"/>
      <c r="E42" s="16"/>
      <c r="F42" s="16"/>
      <c r="G42" s="16"/>
    </row>
    <row r="43" customFormat="false" ht="15" hidden="false" customHeight="false" outlineLevel="0" collapsed="false">
      <c r="A43" s="16"/>
      <c r="B43" s="16"/>
      <c r="C43" s="16"/>
      <c r="D43" s="16"/>
      <c r="E43" s="16"/>
      <c r="F43" s="16"/>
      <c r="G43" s="16"/>
    </row>
    <row r="44" customFormat="false" ht="15" hidden="false" customHeight="false" outlineLevel="0" collapsed="false">
      <c r="A44" s="16"/>
      <c r="B44" s="16"/>
      <c r="C44" s="16"/>
      <c r="D44" s="16"/>
      <c r="E44" s="16"/>
      <c r="F44" s="16"/>
      <c r="G44" s="16"/>
    </row>
    <row r="45" customFormat="false" ht="15" hidden="false" customHeight="false" outlineLevel="0" collapsed="false">
      <c r="A45" s="16"/>
      <c r="B45" s="16"/>
      <c r="C45" s="16"/>
      <c r="D45" s="16"/>
      <c r="E45" s="16"/>
      <c r="F45" s="16"/>
      <c r="G45" s="16"/>
    </row>
    <row r="46" customFormat="false" ht="15" hidden="false" customHeight="false" outlineLevel="0" collapsed="false">
      <c r="A46" s="16"/>
      <c r="B46" s="16"/>
      <c r="C46" s="16"/>
      <c r="D46" s="16"/>
      <c r="E46" s="16"/>
      <c r="F46" s="16"/>
      <c r="G46" s="16"/>
    </row>
    <row r="47" customFormat="false" ht="15" hidden="false" customHeight="false" outlineLevel="0" collapsed="false">
      <c r="A47" s="16"/>
      <c r="B47" s="16"/>
      <c r="C47" s="16"/>
      <c r="D47" s="16"/>
      <c r="E47" s="16"/>
      <c r="F47" s="16"/>
      <c r="G47" s="16"/>
    </row>
    <row r="48" customFormat="false" ht="15" hidden="false" customHeight="false" outlineLevel="0" collapsed="false">
      <c r="A48" s="16"/>
      <c r="B48" s="16"/>
      <c r="C48" s="16"/>
      <c r="D48" s="16"/>
      <c r="E48" s="16"/>
      <c r="F48" s="16"/>
      <c r="G48" s="16"/>
    </row>
    <row r="49" customFormat="false" ht="15" hidden="false" customHeight="false" outlineLevel="0" collapsed="false">
      <c r="A49" s="16"/>
      <c r="B49" s="16"/>
      <c r="C49" s="16"/>
      <c r="D49" s="16"/>
      <c r="E49" s="16"/>
      <c r="F49" s="16"/>
      <c r="G49" s="16"/>
    </row>
    <row r="50" customFormat="false" ht="15" hidden="false" customHeight="false" outlineLevel="0" collapsed="false">
      <c r="A50" s="16"/>
      <c r="B50" s="16"/>
      <c r="C50" s="16"/>
      <c r="D50" s="16"/>
      <c r="E50" s="16"/>
      <c r="F50" s="16"/>
      <c r="G50" s="16"/>
    </row>
    <row r="51" customFormat="false" ht="15" hidden="false" customHeight="false" outlineLevel="0" collapsed="false">
      <c r="A51" s="16"/>
      <c r="B51" s="16"/>
      <c r="C51" s="16"/>
      <c r="D51" s="16"/>
      <c r="E51" s="16"/>
      <c r="F51" s="16"/>
      <c r="G51" s="16"/>
    </row>
    <row r="52" customFormat="false" ht="15" hidden="false" customHeight="false" outlineLevel="0" collapsed="false">
      <c r="A52" s="16"/>
      <c r="B52" s="16"/>
      <c r="C52" s="16"/>
      <c r="D52" s="16"/>
      <c r="E52" s="16"/>
      <c r="F52" s="16"/>
      <c r="G52" s="16"/>
    </row>
    <row r="53" customFormat="false" ht="15" hidden="false" customHeight="false" outlineLevel="0" collapsed="false">
      <c r="A53" s="16"/>
      <c r="B53" s="16"/>
      <c r="C53" s="16"/>
      <c r="D53" s="16"/>
      <c r="E53" s="16"/>
      <c r="F53" s="16"/>
      <c r="G53" s="16"/>
    </row>
    <row r="54" customFormat="false" ht="15" hidden="false" customHeight="false" outlineLevel="0" collapsed="false">
      <c r="A54" s="16"/>
      <c r="B54" s="16"/>
      <c r="C54" s="16"/>
      <c r="D54" s="16"/>
      <c r="E54" s="16"/>
      <c r="F54" s="16"/>
      <c r="G54" s="16"/>
    </row>
    <row r="55" customFormat="false" ht="15" hidden="false" customHeight="false" outlineLevel="0" collapsed="false">
      <c r="A55" s="16"/>
      <c r="B55" s="16"/>
      <c r="C55" s="16"/>
      <c r="D55" s="16"/>
      <c r="E55" s="16"/>
      <c r="F55" s="16"/>
      <c r="G55" s="16"/>
    </row>
    <row r="56" customFormat="false" ht="15" hidden="false" customHeight="false" outlineLevel="0" collapsed="false">
      <c r="A56" s="16"/>
      <c r="B56" s="16"/>
      <c r="C56" s="16"/>
      <c r="D56" s="16"/>
      <c r="E56" s="16"/>
      <c r="F56" s="16"/>
      <c r="G56" s="16"/>
    </row>
    <row r="57" customFormat="false" ht="15" hidden="false" customHeight="false" outlineLevel="0" collapsed="false">
      <c r="A57" s="16"/>
      <c r="B57" s="16"/>
      <c r="C57" s="16"/>
      <c r="D57" s="16"/>
      <c r="E57" s="16"/>
      <c r="F57" s="16"/>
      <c r="G57" s="16"/>
    </row>
    <row r="58" customFormat="false" ht="15" hidden="false" customHeight="false" outlineLevel="0" collapsed="false">
      <c r="A58" s="16"/>
      <c r="B58" s="16"/>
      <c r="C58" s="16"/>
      <c r="D58" s="16"/>
      <c r="E58" s="16"/>
      <c r="F58" s="16"/>
      <c r="G58" s="16"/>
    </row>
    <row r="59" customFormat="false" ht="15" hidden="false" customHeight="false" outlineLevel="0" collapsed="false">
      <c r="A59" s="16"/>
      <c r="B59" s="16"/>
      <c r="C59" s="16"/>
      <c r="D59" s="16"/>
      <c r="E59" s="16"/>
      <c r="F59" s="16"/>
      <c r="G59" s="16"/>
    </row>
    <row r="60" customFormat="false" ht="15" hidden="false" customHeight="false" outlineLevel="0" collapsed="false">
      <c r="A60" s="16"/>
      <c r="B60" s="16"/>
      <c r="C60" s="16"/>
      <c r="D60" s="16"/>
      <c r="E60" s="16"/>
      <c r="F60" s="16"/>
      <c r="G60" s="16"/>
    </row>
    <row r="61" customFormat="false" ht="15" hidden="false" customHeight="false" outlineLevel="0" collapsed="false">
      <c r="A61" s="16"/>
      <c r="B61" s="16"/>
      <c r="C61" s="16"/>
      <c r="D61" s="16"/>
      <c r="E61" s="16"/>
      <c r="F61" s="16"/>
      <c r="G61" s="16"/>
    </row>
  </sheetData>
  <dataValidations count="2">
    <dataValidation allowBlank="false" errorStyle="stop" operator="between" showDropDown="false" showErrorMessage="false" showInputMessage="false" sqref="D2:D61" type="list">
      <formula1>"Active,Inactive"</formula1>
      <formula2>0</formula2>
    </dataValidation>
    <dataValidation allowBlank="false" errorStyle="stop" operator="between" showDropDown="false" showErrorMessage="false" showInputMessage="false" sqref="B2:B61" type="list">
      <formula1>"Purpose,Partnership,Processes,Excellence"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0"/>
    <col collapsed="false" customWidth="true" hidden="false" outlineLevel="0" max="4" min="4" style="0" width="18"/>
    <col collapsed="false" customWidth="true" hidden="false" outlineLevel="0" max="5" min="5" style="0" width="14"/>
    <col collapsed="false" customWidth="true" hidden="false" outlineLevel="0" max="6" min="6" style="0" width="28"/>
    <col collapsed="false" customWidth="true" hidden="false" outlineLevel="0" max="7" min="7" style="0" width="40"/>
  </cols>
  <sheetData>
    <row r="1" customFormat="false" ht="33.75" hidden="false" customHeight="true" outlineLevel="0" collapsed="false">
      <c r="A1" s="7" t="s">
        <v>152</v>
      </c>
      <c r="B1" s="7" t="s">
        <v>153</v>
      </c>
      <c r="C1" s="7" t="s">
        <v>154</v>
      </c>
      <c r="D1" s="7" t="s">
        <v>23</v>
      </c>
      <c r="E1" s="7" t="s">
        <v>24</v>
      </c>
      <c r="F1" s="7" t="s">
        <v>155</v>
      </c>
      <c r="G1" s="7" t="s">
        <v>156</v>
      </c>
    </row>
    <row r="2" customFormat="false" ht="15" hidden="false" customHeight="false" outlineLevel="0" collapsed="false">
      <c r="A2" s="17" t="s">
        <v>157</v>
      </c>
      <c r="B2" s="18" t="s">
        <v>158</v>
      </c>
      <c r="C2" s="18" t="s">
        <v>159</v>
      </c>
      <c r="D2" s="18" t="s">
        <v>30</v>
      </c>
      <c r="E2" s="18" t="n">
        <v>1</v>
      </c>
      <c r="F2" s="18" t="s">
        <v>160</v>
      </c>
      <c r="G2" s="18" t="s">
        <v>161</v>
      </c>
    </row>
    <row r="3" customFormat="false" ht="26.85" hidden="false" customHeight="false" outlineLevel="0" collapsed="false">
      <c r="A3" s="17" t="s">
        <v>162</v>
      </c>
      <c r="B3" s="18" t="s">
        <v>159</v>
      </c>
      <c r="C3" s="18" t="s">
        <v>159</v>
      </c>
      <c r="D3" s="18" t="s">
        <v>30</v>
      </c>
      <c r="E3" s="18" t="n">
        <v>2</v>
      </c>
      <c r="F3" s="18" t="s">
        <v>163</v>
      </c>
      <c r="G3" s="18" t="s">
        <v>164</v>
      </c>
    </row>
    <row r="4" customFormat="false" ht="15" hidden="false" customHeight="false" outlineLevel="0" collapsed="false">
      <c r="A4" s="17" t="s">
        <v>165</v>
      </c>
      <c r="B4" s="18" t="s">
        <v>166</v>
      </c>
      <c r="C4" s="18" t="s">
        <v>166</v>
      </c>
      <c r="D4" s="18" t="s">
        <v>30</v>
      </c>
      <c r="E4" s="18" t="n">
        <v>3</v>
      </c>
      <c r="F4" s="18" t="s">
        <v>167</v>
      </c>
      <c r="G4" s="18" t="s">
        <v>168</v>
      </c>
    </row>
    <row r="5" customFormat="false" ht="15" hidden="false" customHeight="false" outlineLevel="0" collapsed="false">
      <c r="A5" s="17" t="s">
        <v>169</v>
      </c>
      <c r="B5" s="18" t="s">
        <v>170</v>
      </c>
      <c r="C5" s="18" t="s">
        <v>171</v>
      </c>
      <c r="D5" s="18" t="s">
        <v>30</v>
      </c>
      <c r="E5" s="18" t="n">
        <v>4</v>
      </c>
      <c r="F5" s="18" t="s">
        <v>172</v>
      </c>
      <c r="G5" s="18" t="s">
        <v>173</v>
      </c>
    </row>
    <row r="6" customFormat="false" ht="15" hidden="false" customHeight="false" outlineLevel="0" collapsed="false">
      <c r="A6" s="17" t="s">
        <v>174</v>
      </c>
      <c r="B6" s="18" t="s">
        <v>175</v>
      </c>
      <c r="C6" s="18" t="s">
        <v>171</v>
      </c>
      <c r="D6" s="18" t="s">
        <v>30</v>
      </c>
      <c r="E6" s="18" t="n">
        <v>5</v>
      </c>
      <c r="F6" s="18" t="s">
        <v>176</v>
      </c>
      <c r="G6" s="18" t="s">
        <v>177</v>
      </c>
    </row>
    <row r="7" customFormat="false" ht="15" hidden="false" customHeight="false" outlineLevel="0" collapsed="false">
      <c r="A7" s="17" t="s">
        <v>178</v>
      </c>
      <c r="B7" s="18" t="s">
        <v>179</v>
      </c>
      <c r="C7" s="18" t="s">
        <v>171</v>
      </c>
      <c r="D7" s="18" t="s">
        <v>30</v>
      </c>
      <c r="E7" s="18" t="n">
        <v>6</v>
      </c>
      <c r="F7" s="18" t="s">
        <v>180</v>
      </c>
      <c r="G7" s="18" t="s">
        <v>181</v>
      </c>
    </row>
    <row r="8" customFormat="false" ht="15" hidden="false" customHeight="false" outlineLevel="0" collapsed="false">
      <c r="A8" s="17" t="s">
        <v>182</v>
      </c>
      <c r="B8" s="18" t="s">
        <v>183</v>
      </c>
      <c r="C8" s="18" t="s">
        <v>166</v>
      </c>
      <c r="D8" s="18" t="s">
        <v>30</v>
      </c>
      <c r="E8" s="18" t="n">
        <v>7</v>
      </c>
      <c r="F8" s="18" t="s">
        <v>184</v>
      </c>
      <c r="G8" s="18" t="s">
        <v>185</v>
      </c>
    </row>
    <row r="9" customFormat="false" ht="15" hidden="false" customHeight="false" outlineLevel="0" collapsed="false">
      <c r="A9" s="17" t="s">
        <v>186</v>
      </c>
      <c r="B9" s="18" t="s">
        <v>187</v>
      </c>
      <c r="C9" s="18" t="s">
        <v>171</v>
      </c>
      <c r="D9" s="18" t="s">
        <v>30</v>
      </c>
      <c r="E9" s="18" t="n">
        <v>8</v>
      </c>
      <c r="F9" s="18" t="s">
        <v>188</v>
      </c>
      <c r="G9" s="18" t="s">
        <v>189</v>
      </c>
    </row>
    <row r="10" customFormat="false" ht="15" hidden="false" customHeight="false" outlineLevel="0" collapsed="false">
      <c r="A10" s="18"/>
      <c r="B10" s="18"/>
      <c r="C10" s="18"/>
      <c r="D10" s="18"/>
      <c r="E10" s="18"/>
      <c r="F10" s="18"/>
      <c r="G10" s="18"/>
    </row>
    <row r="11" customFormat="false" ht="15" hidden="false" customHeight="false" outlineLevel="0" collapsed="false">
      <c r="A11" s="18"/>
      <c r="B11" s="18"/>
      <c r="C11" s="18"/>
      <c r="D11" s="18"/>
      <c r="E11" s="18"/>
      <c r="F11" s="18"/>
      <c r="G11" s="18"/>
    </row>
    <row r="12" customFormat="false" ht="15" hidden="false" customHeight="false" outlineLevel="0" collapsed="false">
      <c r="A12" s="18"/>
      <c r="B12" s="18"/>
      <c r="C12" s="18"/>
      <c r="D12" s="18"/>
      <c r="E12" s="18"/>
      <c r="F12" s="18"/>
      <c r="G12" s="18"/>
    </row>
    <row r="13" customFormat="false" ht="15" hidden="false" customHeight="false" outlineLevel="0" collapsed="false">
      <c r="A13" s="18"/>
      <c r="B13" s="18"/>
      <c r="C13" s="18"/>
      <c r="D13" s="18"/>
      <c r="E13" s="18"/>
      <c r="F13" s="18"/>
      <c r="G13" s="18"/>
    </row>
    <row r="14" customFormat="false" ht="15" hidden="false" customHeight="false" outlineLevel="0" collapsed="false">
      <c r="A14" s="18"/>
      <c r="B14" s="18"/>
      <c r="C14" s="18"/>
      <c r="D14" s="18"/>
      <c r="E14" s="18"/>
      <c r="F14" s="18"/>
      <c r="G14" s="18"/>
    </row>
    <row r="15" customFormat="false" ht="15" hidden="false" customHeight="false" outlineLevel="0" collapsed="false">
      <c r="A15" s="18"/>
      <c r="B15" s="18"/>
      <c r="C15" s="18"/>
      <c r="D15" s="18"/>
      <c r="E15" s="18"/>
      <c r="F15" s="18"/>
      <c r="G15" s="18"/>
    </row>
    <row r="16" customFormat="false" ht="15" hidden="false" customHeight="false" outlineLevel="0" collapsed="false">
      <c r="A16" s="18"/>
      <c r="B16" s="18"/>
      <c r="C16" s="18"/>
      <c r="D16" s="18"/>
      <c r="E16" s="18"/>
      <c r="F16" s="18"/>
      <c r="G16" s="18"/>
    </row>
    <row r="17" customFormat="false" ht="15" hidden="false" customHeight="false" outlineLevel="0" collapsed="false">
      <c r="A17" s="18"/>
      <c r="B17" s="18"/>
      <c r="C17" s="18"/>
      <c r="D17" s="18"/>
      <c r="E17" s="18"/>
      <c r="F17" s="18"/>
      <c r="G17" s="18"/>
    </row>
    <row r="18" customFormat="false" ht="15" hidden="false" customHeight="false" outlineLevel="0" collapsed="false">
      <c r="A18" s="18"/>
      <c r="B18" s="18"/>
      <c r="C18" s="18"/>
      <c r="D18" s="18"/>
      <c r="E18" s="18"/>
      <c r="F18" s="18"/>
      <c r="G18" s="18"/>
    </row>
    <row r="19" customFormat="false" ht="15" hidden="false" customHeight="false" outlineLevel="0" collapsed="false">
      <c r="A19" s="18"/>
      <c r="B19" s="18"/>
      <c r="C19" s="18"/>
      <c r="D19" s="18"/>
      <c r="E19" s="18"/>
      <c r="F19" s="18"/>
      <c r="G19" s="18"/>
    </row>
    <row r="20" customFormat="false" ht="15" hidden="false" customHeight="false" outlineLevel="0" collapsed="false">
      <c r="A20" s="18"/>
      <c r="B20" s="18"/>
      <c r="C20" s="18"/>
      <c r="D20" s="18"/>
      <c r="E20" s="18"/>
      <c r="F20" s="18"/>
      <c r="G20" s="18"/>
    </row>
    <row r="21" customFormat="false" ht="15" hidden="false" customHeight="false" outlineLevel="0" collapsed="false">
      <c r="A21" s="18"/>
      <c r="B21" s="18"/>
      <c r="C21" s="18"/>
      <c r="D21" s="18"/>
      <c r="E21" s="18"/>
      <c r="F21" s="18"/>
      <c r="G21" s="18"/>
    </row>
    <row r="22" customFormat="false" ht="15" hidden="false" customHeight="false" outlineLevel="0" collapsed="false">
      <c r="A22" s="18"/>
      <c r="B22" s="18"/>
      <c r="C22" s="18"/>
      <c r="D22" s="18"/>
      <c r="E22" s="18"/>
      <c r="F22" s="18"/>
      <c r="G22" s="18"/>
    </row>
    <row r="23" customFormat="false" ht="15" hidden="false" customHeight="false" outlineLevel="0" collapsed="false">
      <c r="A23" s="18"/>
      <c r="B23" s="18"/>
      <c r="C23" s="18"/>
      <c r="D23" s="18"/>
      <c r="E23" s="18"/>
      <c r="F23" s="18"/>
      <c r="G23" s="18"/>
    </row>
    <row r="24" customFormat="false" ht="15" hidden="false" customHeight="false" outlineLevel="0" collapsed="false">
      <c r="A24" s="18"/>
      <c r="B24" s="18"/>
      <c r="C24" s="18"/>
      <c r="D24" s="18"/>
      <c r="E24" s="18"/>
      <c r="F24" s="18"/>
      <c r="G24" s="18"/>
    </row>
    <row r="26" customFormat="false" ht="15" hidden="false" customHeight="false" outlineLevel="0" collapsed="false">
      <c r="A26" s="19" t="s">
        <v>190</v>
      </c>
      <c r="B26" s="20" t="s">
        <v>191</v>
      </c>
      <c r="C26" s="20"/>
      <c r="D26" s="20"/>
      <c r="E26" s="20"/>
      <c r="F26" s="20"/>
      <c r="G26" s="20"/>
    </row>
  </sheetData>
  <mergeCells count="1">
    <mergeCell ref="B26:G26"/>
  </mergeCells>
  <dataValidations count="1">
    <dataValidation allowBlank="false" errorStyle="stop" operator="between" showDropDown="false" showErrorMessage="false" showInputMessage="false" sqref="D2:D24" type="list">
      <formula1>"Active,Inactive"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60"/>
    <col collapsed="false" customWidth="true" hidden="false" outlineLevel="0" max="4" min="4" style="0" width="16"/>
  </cols>
  <sheetData>
    <row r="1" customFormat="false" ht="33.75" hidden="false" customHeight="true" outlineLevel="0" collapsed="false">
      <c r="A1" s="7" t="s">
        <v>192</v>
      </c>
      <c r="B1" s="7" t="s">
        <v>193</v>
      </c>
      <c r="C1" s="7" t="s">
        <v>194</v>
      </c>
      <c r="D1" s="7" t="s">
        <v>12</v>
      </c>
    </row>
    <row r="2" customFormat="false" ht="15" hidden="false" customHeight="false" outlineLevel="0" collapsed="false">
      <c r="A2" s="21" t="s">
        <v>195</v>
      </c>
      <c r="B2" s="22" t="s">
        <v>196</v>
      </c>
      <c r="C2" s="22" t="s">
        <v>197</v>
      </c>
      <c r="D2" s="22" t="s">
        <v>198</v>
      </c>
    </row>
    <row r="3" customFormat="false" ht="15" hidden="false" customHeight="false" outlineLevel="0" collapsed="false">
      <c r="A3" s="21" t="s">
        <v>199</v>
      </c>
      <c r="B3" s="22" t="s">
        <v>200</v>
      </c>
      <c r="C3" s="22" t="s">
        <v>201</v>
      </c>
      <c r="D3" s="22" t="s">
        <v>198</v>
      </c>
    </row>
    <row r="4" customFormat="false" ht="15" hidden="false" customHeight="false" outlineLevel="0" collapsed="false">
      <c r="A4" s="21" t="s">
        <v>202</v>
      </c>
      <c r="B4" s="22" t="s">
        <v>203</v>
      </c>
      <c r="C4" s="22" t="s">
        <v>204</v>
      </c>
      <c r="D4" s="22" t="s">
        <v>198</v>
      </c>
    </row>
    <row r="5" customFormat="false" ht="15" hidden="false" customHeight="false" outlineLevel="0" collapsed="false">
      <c r="A5" s="23" t="s">
        <v>205</v>
      </c>
      <c r="B5" s="18" t="s">
        <v>206</v>
      </c>
      <c r="C5" s="18" t="s">
        <v>207</v>
      </c>
      <c r="D5" s="18" t="s">
        <v>208</v>
      </c>
    </row>
    <row r="6" customFormat="false" ht="15" hidden="false" customHeight="false" outlineLevel="0" collapsed="false">
      <c r="A6" s="23" t="s">
        <v>209</v>
      </c>
      <c r="B6" s="18" t="n">
        <v>1</v>
      </c>
      <c r="C6" s="18" t="s">
        <v>210</v>
      </c>
      <c r="D6" s="18" t="s">
        <v>208</v>
      </c>
    </row>
    <row r="7" customFormat="false" ht="15" hidden="false" customHeight="false" outlineLevel="0" collapsed="false">
      <c r="A7" s="23" t="s">
        <v>211</v>
      </c>
      <c r="B7" s="18" t="n">
        <v>10</v>
      </c>
      <c r="C7" s="18" t="s">
        <v>212</v>
      </c>
      <c r="D7" s="18" t="s">
        <v>208</v>
      </c>
    </row>
    <row r="8" customFormat="false" ht="15" hidden="false" customHeight="false" outlineLevel="0" collapsed="false">
      <c r="A8" s="23" t="s">
        <v>213</v>
      </c>
      <c r="B8" s="18" t="s">
        <v>214</v>
      </c>
      <c r="C8" s="18" t="s">
        <v>215</v>
      </c>
      <c r="D8" s="18" t="s">
        <v>208</v>
      </c>
    </row>
    <row r="9" customFormat="false" ht="15" hidden="false" customHeight="false" outlineLevel="0" collapsed="false">
      <c r="A9" s="23" t="s">
        <v>216</v>
      </c>
      <c r="B9" s="18" t="s">
        <v>217</v>
      </c>
      <c r="C9" s="18" t="s">
        <v>218</v>
      </c>
      <c r="D9" s="18" t="s">
        <v>208</v>
      </c>
    </row>
    <row r="10" customFormat="false" ht="15" hidden="false" customHeight="false" outlineLevel="0" collapsed="false">
      <c r="A10" s="23" t="s">
        <v>219</v>
      </c>
      <c r="B10" s="18" t="n">
        <v>3.99</v>
      </c>
      <c r="C10" s="18" t="s">
        <v>220</v>
      </c>
      <c r="D10" s="18" t="s">
        <v>208</v>
      </c>
    </row>
    <row r="11" customFormat="false" ht="15" hidden="false" customHeight="false" outlineLevel="0" collapsed="false">
      <c r="A11" s="23" t="s">
        <v>221</v>
      </c>
      <c r="B11" s="18" t="n">
        <v>5.99</v>
      </c>
      <c r="C11" s="18" t="s">
        <v>222</v>
      </c>
      <c r="D11" s="18" t="s">
        <v>208</v>
      </c>
    </row>
    <row r="12" customFormat="false" ht="15" hidden="false" customHeight="false" outlineLevel="0" collapsed="false">
      <c r="A12" s="23" t="s">
        <v>223</v>
      </c>
      <c r="B12" s="18" t="n">
        <v>7.99</v>
      </c>
      <c r="C12" s="18" t="s">
        <v>224</v>
      </c>
      <c r="D12" s="18" t="s">
        <v>208</v>
      </c>
    </row>
    <row r="13" customFormat="false" ht="15" hidden="false" customHeight="false" outlineLevel="0" collapsed="false">
      <c r="A13" s="23" t="s">
        <v>225</v>
      </c>
      <c r="B13" s="18" t="n">
        <v>10</v>
      </c>
      <c r="C13" s="18" t="s">
        <v>226</v>
      </c>
      <c r="D13" s="18" t="s">
        <v>208</v>
      </c>
    </row>
    <row r="14" customFormat="false" ht="15" hidden="false" customHeight="false" outlineLevel="0" collapsed="false">
      <c r="A14" s="23" t="s">
        <v>227</v>
      </c>
      <c r="B14" s="18" t="n">
        <v>2</v>
      </c>
      <c r="C14" s="18" t="s">
        <v>228</v>
      </c>
      <c r="D14" s="18" t="s">
        <v>208</v>
      </c>
    </row>
    <row r="15" customFormat="false" ht="26.85" hidden="false" customHeight="false" outlineLevel="0" collapsed="false">
      <c r="A15" s="23" t="s">
        <v>229</v>
      </c>
      <c r="B15" s="18" t="n">
        <v>1</v>
      </c>
      <c r="C15" s="18" t="s">
        <v>230</v>
      </c>
      <c r="D15" s="18" t="s">
        <v>208</v>
      </c>
    </row>
    <row r="16" customFormat="false" ht="26.85" hidden="false" customHeight="false" outlineLevel="0" collapsed="false">
      <c r="A16" s="23" t="s">
        <v>231</v>
      </c>
      <c r="B16" s="18" t="n">
        <v>10</v>
      </c>
      <c r="C16" s="18" t="s">
        <v>232</v>
      </c>
      <c r="D16" s="18" t="s">
        <v>208</v>
      </c>
    </row>
    <row r="17" customFormat="false" ht="26.85" hidden="false" customHeight="false" outlineLevel="0" collapsed="false">
      <c r="A17" s="23" t="s">
        <v>233</v>
      </c>
      <c r="B17" s="18" t="s">
        <v>234</v>
      </c>
      <c r="C17" s="18" t="s">
        <v>235</v>
      </c>
      <c r="D17" s="18" t="s">
        <v>208</v>
      </c>
    </row>
    <row r="18" customFormat="false" ht="26.85" hidden="false" customHeight="false" outlineLevel="0" collapsed="false">
      <c r="A18" s="23" t="s">
        <v>236</v>
      </c>
      <c r="B18" s="18" t="s">
        <v>234</v>
      </c>
      <c r="C18" s="18" t="s">
        <v>237</v>
      </c>
      <c r="D18" s="18" t="s">
        <v>208</v>
      </c>
    </row>
    <row r="19" customFormat="false" ht="26.85" hidden="false" customHeight="false" outlineLevel="0" collapsed="false">
      <c r="A19" s="23" t="s">
        <v>238</v>
      </c>
      <c r="B19" s="18" t="s">
        <v>234</v>
      </c>
      <c r="C19" s="18" t="s">
        <v>239</v>
      </c>
      <c r="D19" s="18" t="s">
        <v>208</v>
      </c>
    </row>
    <row r="20" customFormat="false" ht="26.85" hidden="false" customHeight="false" outlineLevel="0" collapsed="false">
      <c r="A20" s="23" t="s">
        <v>240</v>
      </c>
      <c r="B20" s="18" t="s">
        <v>241</v>
      </c>
      <c r="C20" s="18" t="s">
        <v>242</v>
      </c>
      <c r="D20" s="18"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4" min="2" style="0" width="22"/>
    <col collapsed="false" customWidth="true" hidden="false" outlineLevel="0" max="5" min="5" style="0" width="60"/>
    <col collapsed="false" customWidth="true" hidden="false" outlineLevel="0" max="6" min="6" style="0" width="32"/>
  </cols>
  <sheetData>
    <row r="1" customFormat="false" ht="33.75" hidden="false" customHeight="true" outlineLevel="0" collapsed="false">
      <c r="A1" s="7" t="s">
        <v>243</v>
      </c>
      <c r="B1" s="7" t="s">
        <v>244</v>
      </c>
      <c r="C1" s="7" t="s">
        <v>245</v>
      </c>
      <c r="D1" s="7" t="s">
        <v>246</v>
      </c>
      <c r="E1" s="7" t="s">
        <v>247</v>
      </c>
      <c r="F1" s="7" t="s">
        <v>248</v>
      </c>
    </row>
    <row r="2" customFormat="false" ht="26.85" hidden="false" customHeight="false" outlineLevel="0" collapsed="false">
      <c r="A2" s="18" t="s">
        <v>203</v>
      </c>
      <c r="B2" s="18" t="s">
        <v>206</v>
      </c>
      <c r="C2" s="18" t="s">
        <v>249</v>
      </c>
      <c r="D2" s="18" t="s">
        <v>250</v>
      </c>
      <c r="E2" s="18" t="s">
        <v>251</v>
      </c>
      <c r="F2" s="18" t="s">
        <v>252</v>
      </c>
    </row>
    <row r="4" customFormat="false" ht="15" hidden="false" customHeight="false" outlineLevel="0" collapsed="false">
      <c r="A4" s="18"/>
      <c r="B4" s="18"/>
      <c r="C4" s="18"/>
      <c r="D4" s="18"/>
      <c r="E4" s="18"/>
      <c r="F4" s="18"/>
    </row>
    <row r="5" customFormat="false" ht="15" hidden="false" customHeight="false" outlineLevel="0" collapsed="false">
      <c r="A5" s="18"/>
      <c r="B5" s="18"/>
      <c r="C5" s="18"/>
      <c r="D5" s="18"/>
      <c r="E5" s="18"/>
      <c r="F5" s="18"/>
    </row>
    <row r="6" customFormat="false" ht="15" hidden="false" customHeight="false" outlineLevel="0" collapsed="false">
      <c r="A6" s="18"/>
      <c r="B6" s="18"/>
      <c r="C6" s="18"/>
      <c r="D6" s="18"/>
      <c r="E6" s="18"/>
      <c r="F6" s="18"/>
    </row>
    <row r="7" customFormat="false" ht="15" hidden="false" customHeight="false" outlineLevel="0" collapsed="false">
      <c r="A7" s="18"/>
      <c r="B7" s="18"/>
      <c r="C7" s="18"/>
      <c r="D7" s="18"/>
      <c r="E7" s="18"/>
      <c r="F7" s="18"/>
    </row>
    <row r="8" customFormat="false" ht="15" hidden="false" customHeight="false" outlineLevel="0" collapsed="false">
      <c r="A8" s="18"/>
      <c r="B8" s="18"/>
      <c r="C8" s="18"/>
      <c r="D8" s="18"/>
      <c r="E8" s="18"/>
      <c r="F8" s="18"/>
    </row>
    <row r="9" customFormat="false" ht="15" hidden="false" customHeight="false" outlineLevel="0" collapsed="false">
      <c r="A9" s="18"/>
      <c r="B9" s="18"/>
      <c r="C9" s="18"/>
      <c r="D9" s="18"/>
      <c r="E9" s="18"/>
      <c r="F9" s="18"/>
    </row>
    <row r="10" customFormat="false" ht="15" hidden="false" customHeight="false" outlineLevel="0" collapsed="false">
      <c r="A10" s="18"/>
      <c r="B10" s="18"/>
      <c r="C10" s="18"/>
      <c r="D10" s="18"/>
      <c r="E10" s="18"/>
      <c r="F10" s="18"/>
    </row>
    <row r="11" customFormat="false" ht="15" hidden="false" customHeight="false" outlineLevel="0" collapsed="false">
      <c r="A11" s="18"/>
      <c r="B11" s="18"/>
      <c r="C11" s="18"/>
      <c r="D11" s="18"/>
      <c r="E11" s="18"/>
      <c r="F11" s="18"/>
    </row>
    <row r="12" customFormat="false" ht="15" hidden="false" customHeight="false" outlineLevel="0" collapsed="false">
      <c r="A12" s="18"/>
      <c r="B12" s="18"/>
      <c r="C12" s="18"/>
      <c r="D12" s="18"/>
      <c r="E12" s="18"/>
      <c r="F12" s="18"/>
    </row>
    <row r="13" customFormat="false" ht="15" hidden="false" customHeight="false" outlineLevel="0" collapsed="false">
      <c r="A13" s="18"/>
      <c r="B13" s="18"/>
      <c r="C13" s="18"/>
      <c r="D13" s="18"/>
      <c r="E13" s="18"/>
      <c r="F13" s="18"/>
    </row>
    <row r="14" customFormat="false" ht="15" hidden="false" customHeight="false" outlineLevel="0" collapsed="false">
      <c r="A14" s="18"/>
      <c r="B14" s="18"/>
      <c r="C14" s="18"/>
      <c r="D14" s="18"/>
      <c r="E14" s="18"/>
      <c r="F14" s="18"/>
    </row>
    <row r="15" customFormat="false" ht="15" hidden="false" customHeight="false" outlineLevel="0" collapsed="false">
      <c r="A15" s="18"/>
      <c r="B15" s="18"/>
      <c r="C15" s="18"/>
      <c r="D15" s="18"/>
      <c r="E15" s="18"/>
      <c r="F15" s="18"/>
    </row>
    <row r="16" customFormat="false" ht="15" hidden="false" customHeight="false" outlineLevel="0" collapsed="false">
      <c r="A16" s="18"/>
      <c r="B16" s="18"/>
      <c r="C16" s="18"/>
      <c r="D16" s="18"/>
      <c r="E16" s="18"/>
      <c r="F16" s="18"/>
    </row>
    <row r="17" customFormat="false" ht="15" hidden="false" customHeight="false" outlineLevel="0" collapsed="false">
      <c r="A17" s="18"/>
      <c r="B17" s="18"/>
      <c r="C17" s="18"/>
      <c r="D17" s="18"/>
      <c r="E17" s="18"/>
      <c r="F17" s="18"/>
    </row>
    <row r="18" customFormat="false" ht="15" hidden="false" customHeight="false" outlineLevel="0" collapsed="false">
      <c r="A18" s="18"/>
      <c r="B18" s="18"/>
      <c r="C18" s="18"/>
      <c r="D18" s="18"/>
      <c r="E18" s="18"/>
      <c r="F18" s="18"/>
    </row>
    <row r="19" customFormat="false" ht="15" hidden="false" customHeight="false" outlineLevel="0" collapsed="false">
      <c r="A19" s="18"/>
      <c r="B19" s="18"/>
      <c r="C19" s="18"/>
      <c r="D19" s="18"/>
      <c r="E19" s="18"/>
      <c r="F19" s="18"/>
    </row>
    <row r="20" customFormat="false" ht="15" hidden="false" customHeight="false" outlineLevel="0" collapsed="false">
      <c r="A20" s="18"/>
      <c r="B20" s="18"/>
      <c r="C20" s="18"/>
      <c r="D20" s="18"/>
      <c r="E20" s="18"/>
      <c r="F20" s="18"/>
    </row>
    <row r="21" customFormat="false" ht="15" hidden="false" customHeight="false" outlineLevel="0" collapsed="false">
      <c r="A21" s="18"/>
      <c r="B21" s="18"/>
      <c r="C21" s="18"/>
      <c r="D21" s="18"/>
      <c r="E21" s="18"/>
      <c r="F21" s="18"/>
    </row>
    <row r="22" customFormat="false" ht="15" hidden="false" customHeight="false" outlineLevel="0" collapsed="false">
      <c r="A22" s="18"/>
      <c r="B22" s="18"/>
      <c r="C22" s="18"/>
      <c r="D22" s="18"/>
      <c r="E22" s="18"/>
      <c r="F22" s="18"/>
    </row>
    <row r="23" customFormat="false" ht="15" hidden="false" customHeight="false" outlineLevel="0" collapsed="false">
      <c r="A23" s="18"/>
      <c r="B23" s="18"/>
      <c r="C23" s="18"/>
      <c r="D23" s="18"/>
      <c r="E23" s="18"/>
      <c r="F23" s="18"/>
    </row>
    <row r="24" customFormat="false" ht="15" hidden="false" customHeight="false" outlineLevel="0" collapsed="false">
      <c r="A24" s="18"/>
      <c r="B24" s="18"/>
      <c r="C24" s="18"/>
      <c r="D24" s="18"/>
      <c r="E24" s="18"/>
      <c r="F24" s="18"/>
    </row>
    <row r="25" customFormat="false" ht="15" hidden="false" customHeight="false" outlineLevel="0" collapsed="false">
      <c r="A25" s="18"/>
      <c r="B25" s="18"/>
      <c r="C25" s="18"/>
      <c r="D25" s="18"/>
      <c r="E25" s="18"/>
      <c r="F25" s="18"/>
    </row>
    <row r="26" customFormat="false" ht="15" hidden="false" customHeight="false" outlineLevel="0" collapsed="false">
      <c r="A26" s="18"/>
      <c r="B26" s="18"/>
      <c r="C26" s="18"/>
      <c r="D26" s="18"/>
      <c r="E26" s="18"/>
      <c r="F26" s="18"/>
    </row>
    <row r="27" customFormat="false" ht="15" hidden="false" customHeight="false" outlineLevel="0" collapsed="false">
      <c r="A27" s="18"/>
      <c r="B27" s="18"/>
      <c r="C27" s="18"/>
      <c r="D27" s="18"/>
      <c r="E27" s="18"/>
      <c r="F27" s="18"/>
    </row>
    <row r="28" customFormat="false" ht="15" hidden="false" customHeight="false" outlineLevel="0" collapsed="false">
      <c r="A28" s="18"/>
      <c r="B28" s="18"/>
      <c r="C28" s="18"/>
      <c r="D28" s="18"/>
      <c r="E28" s="18"/>
      <c r="F28" s="18"/>
    </row>
    <row r="29" customFormat="false" ht="15" hidden="false" customHeight="false" outlineLevel="0" collapsed="false">
      <c r="A29" s="18"/>
      <c r="B29" s="18"/>
      <c r="C29" s="18"/>
      <c r="D29" s="18"/>
      <c r="E29" s="18"/>
      <c r="F29" s="18"/>
    </row>
    <row r="30" customFormat="false" ht="15" hidden="false" customHeight="false" outlineLevel="0" collapsed="false">
      <c r="A30" s="18"/>
      <c r="B30" s="18"/>
      <c r="C30" s="18"/>
      <c r="D30" s="18"/>
      <c r="E30" s="18"/>
      <c r="F30" s="18"/>
    </row>
    <row r="31" customFormat="false" ht="15" hidden="false" customHeight="false" outlineLevel="0" collapsed="false">
      <c r="A31" s="18"/>
      <c r="B31" s="18"/>
      <c r="C31" s="18"/>
      <c r="D31" s="18"/>
      <c r="E31" s="18"/>
      <c r="F31" s="18"/>
    </row>
    <row r="32" customFormat="false" ht="15" hidden="false" customHeight="false" outlineLevel="0" collapsed="false">
      <c r="A32" s="18"/>
      <c r="B32" s="18"/>
      <c r="C32" s="18"/>
      <c r="D32" s="18"/>
      <c r="E32" s="18"/>
      <c r="F32" s="18"/>
    </row>
    <row r="33" customFormat="false" ht="15" hidden="false" customHeight="false" outlineLevel="0" collapsed="false">
      <c r="A33" s="18"/>
      <c r="B33" s="18"/>
      <c r="C33" s="18"/>
      <c r="D33" s="18"/>
      <c r="E33" s="18"/>
      <c r="F33" s="18"/>
    </row>
    <row r="34" customFormat="false" ht="15" hidden="false" customHeight="false" outlineLevel="0" collapsed="false">
      <c r="A34" s="18"/>
      <c r="B34" s="18"/>
      <c r="C34" s="18"/>
      <c r="D34" s="18"/>
      <c r="E34" s="18"/>
      <c r="F34" s="18"/>
    </row>
    <row r="35" customFormat="false" ht="15" hidden="false" customHeight="false" outlineLevel="0" collapsed="false">
      <c r="A35" s="18"/>
      <c r="B35" s="18"/>
      <c r="C35" s="18"/>
      <c r="D35" s="18"/>
      <c r="E35" s="18"/>
      <c r="F35" s="18"/>
    </row>
    <row r="36" customFormat="false" ht="15" hidden="false" customHeight="false" outlineLevel="0" collapsed="false">
      <c r="A36" s="18"/>
      <c r="B36" s="18"/>
      <c r="C36" s="18"/>
      <c r="D36" s="18"/>
      <c r="E36" s="18"/>
      <c r="F36" s="18"/>
    </row>
    <row r="37" customFormat="false" ht="15" hidden="false" customHeight="false" outlineLevel="0" collapsed="false">
      <c r="A37" s="18"/>
      <c r="B37" s="18"/>
      <c r="C37" s="18"/>
      <c r="D37" s="18"/>
      <c r="E37" s="18"/>
      <c r="F37" s="18"/>
    </row>
    <row r="38" customFormat="false" ht="15" hidden="false" customHeight="false" outlineLevel="0" collapsed="false">
      <c r="A38" s="18"/>
      <c r="B38" s="18"/>
      <c r="C38" s="18"/>
      <c r="D38" s="18"/>
      <c r="E38" s="18"/>
      <c r="F38" s="18"/>
    </row>
    <row r="39" customFormat="false" ht="15" hidden="false" customHeight="false" outlineLevel="0" collapsed="false">
      <c r="A39" s="18"/>
      <c r="B39" s="18"/>
      <c r="C39" s="18"/>
      <c r="D39" s="18"/>
      <c r="E39" s="18"/>
      <c r="F39" s="18"/>
    </row>
    <row r="40" customFormat="false" ht="15" hidden="false" customHeight="false" outlineLevel="0" collapsed="false">
      <c r="A40" s="18"/>
      <c r="B40" s="18"/>
      <c r="C40" s="18"/>
      <c r="D40" s="18"/>
      <c r="E40" s="18"/>
      <c r="F40" s="18"/>
    </row>
    <row r="41" customFormat="false" ht="15" hidden="false" customHeight="false" outlineLevel="0" collapsed="false">
      <c r="A41" s="18"/>
      <c r="B41" s="18"/>
      <c r="C41" s="18"/>
      <c r="D41" s="18"/>
      <c r="E41" s="18"/>
      <c r="F41" s="18"/>
    </row>
  </sheetData>
  <dataValidations count="1">
    <dataValidation allowBlank="true" errorStyle="stop" operator="between" showDropDown="false" showErrorMessage="false" showInputMessage="false" sqref="C2:C41" type="list">
      <formula1>"Initial baseline,Question edit,Question added,Question retired,Department added,Department renamed,Department retired,Config change,Other"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4"/>
  </cols>
  <sheetData>
    <row r="1" customFormat="false" ht="16.15" hidden="false" customHeight="false" outlineLevel="0" collapsed="false">
      <c r="A1" s="24" t="s">
        <v>253</v>
      </c>
      <c r="B1" s="24"/>
      <c r="C1" s="24"/>
    </row>
    <row r="3" customFormat="false" ht="27.75" hidden="false" customHeight="true" outlineLevel="0" collapsed="false">
      <c r="A3" s="7" t="s">
        <v>21</v>
      </c>
      <c r="B3" s="7" t="s">
        <v>254</v>
      </c>
      <c r="C3" s="7" t="s">
        <v>255</v>
      </c>
    </row>
    <row r="4" customFormat="false" ht="15" hidden="false" customHeight="false" outlineLevel="0" collapsed="false">
      <c r="A4" s="18" t="s">
        <v>28</v>
      </c>
      <c r="B4" s="18" t="n">
        <f aca="false">COUNTIFS('Question Bank'!B:B,"Purpose",'Question Bank'!D:D,"Active")</f>
        <v>10</v>
      </c>
      <c r="C4" s="25" t="n">
        <f aca="false">IFERROR(B4/B8,0)</f>
        <v>0.25</v>
      </c>
    </row>
    <row r="5" customFormat="false" ht="15" hidden="false" customHeight="false" outlineLevel="0" collapsed="false">
      <c r="A5" s="18" t="s">
        <v>60</v>
      </c>
      <c r="B5" s="18" t="n">
        <f aca="false">COUNTIFS('Question Bank'!B:B,"Partnership",'Question Bank'!D:D,"Active")</f>
        <v>10</v>
      </c>
      <c r="C5" s="25" t="n">
        <f aca="false">IFERROR(B5/B8,0)</f>
        <v>0.25</v>
      </c>
    </row>
    <row r="6" customFormat="false" ht="15" hidden="false" customHeight="false" outlineLevel="0" collapsed="false">
      <c r="A6" s="18" t="s">
        <v>91</v>
      </c>
      <c r="B6" s="18" t="n">
        <f aca="false">COUNTIFS('Question Bank'!B:B,"Processes",'Question Bank'!D:D,"Active")</f>
        <v>10</v>
      </c>
      <c r="C6" s="25" t="n">
        <f aca="false">IFERROR(B6/B8,0)</f>
        <v>0.25</v>
      </c>
    </row>
    <row r="7" customFormat="false" ht="15" hidden="false" customHeight="false" outlineLevel="0" collapsed="false">
      <c r="A7" s="18" t="s">
        <v>122</v>
      </c>
      <c r="B7" s="18" t="n">
        <f aca="false">COUNTIFS('Question Bank'!B:B,"Excellence",'Question Bank'!D:D,"Active")</f>
        <v>10</v>
      </c>
      <c r="C7" s="25" t="n">
        <f aca="false">IFERROR(B7/B8,0)</f>
        <v>0.25</v>
      </c>
    </row>
    <row r="8" customFormat="false" ht="15" hidden="false" customHeight="false" outlineLevel="0" collapsed="false">
      <c r="A8" s="17" t="s">
        <v>256</v>
      </c>
      <c r="B8" s="17" t="n">
        <f aca="false">SUM(B4:B7)</f>
        <v>40</v>
      </c>
      <c r="C8" s="26" t="n">
        <f aca="false">IFERROR(B8/B8,0)</f>
        <v>1</v>
      </c>
    </row>
    <row r="11" customFormat="false" ht="16.15" hidden="false" customHeight="false" outlineLevel="0" collapsed="false">
      <c r="A11" s="24" t="s">
        <v>257</v>
      </c>
      <c r="B11" s="24"/>
      <c r="C11" s="24"/>
    </row>
    <row r="13" customFormat="false" ht="15" hidden="false" customHeight="false" outlineLevel="0" collapsed="false">
      <c r="A13" s="7" t="s">
        <v>258</v>
      </c>
      <c r="B13" s="7" t="s">
        <v>259</v>
      </c>
    </row>
    <row r="14" customFormat="false" ht="15" hidden="false" customHeight="false" outlineLevel="0" collapsed="false">
      <c r="A14" s="17" t="s">
        <v>257</v>
      </c>
      <c r="B14" s="18" t="n">
        <f aca="false">COUNTIF(Departments!D:D,"Active")</f>
        <v>8</v>
      </c>
    </row>
    <row r="15" customFormat="false" ht="15" hidden="false" customHeight="false" outlineLevel="0" collapsed="false">
      <c r="A15" s="17" t="s">
        <v>260</v>
      </c>
      <c r="B15" s="18" t="n">
        <f aca="false">COUNTIF(Departments!D:D,"Inactive")</f>
        <v>0</v>
      </c>
    </row>
    <row r="16" customFormat="false" ht="15" hidden="false" customHeight="false" outlineLevel="0" collapsed="false">
      <c r="A16" s="17" t="s">
        <v>261</v>
      </c>
      <c r="B16" s="18" t="n">
        <f aca="false">B14+B15</f>
        <v>8</v>
      </c>
    </row>
  </sheetData>
  <mergeCells count="2">
    <mergeCell ref="A1:C1"/>
    <mergeCell ref="A11:C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0"/>
  </cols>
  <sheetData>
    <row r="1" customFormat="false" ht="30" hidden="false" customHeight="true" outlineLevel="0" collapsed="false">
      <c r="A1" s="1" t="s">
        <v>262</v>
      </c>
      <c r="B1" s="1"/>
    </row>
    <row r="3" customFormat="false" ht="15" hidden="false" customHeight="false" outlineLevel="0" collapsed="false">
      <c r="A3" s="27" t="s">
        <v>263</v>
      </c>
      <c r="B3" s="28" t="s">
        <v>200</v>
      </c>
    </row>
    <row r="4" customFormat="false" ht="15" hidden="false" customHeight="false" outlineLevel="0" collapsed="false">
      <c r="A4" s="27" t="s">
        <v>264</v>
      </c>
      <c r="B4" s="28" t="s">
        <v>265</v>
      </c>
    </row>
    <row r="5" customFormat="false" ht="26.85" hidden="false" customHeight="false" outlineLevel="0" collapsed="false">
      <c r="A5" s="27" t="s">
        <v>266</v>
      </c>
      <c r="B5" s="28" t="s">
        <v>267</v>
      </c>
    </row>
    <row r="6" customFormat="false" ht="26.85" hidden="false" customHeight="false" outlineLevel="0" collapsed="false">
      <c r="A6" s="27" t="s">
        <v>268</v>
      </c>
      <c r="B6" s="28" t="s">
        <v>269</v>
      </c>
    </row>
    <row r="7" customFormat="false" ht="15" hidden="false" customHeight="false" outlineLevel="0" collapsed="false">
      <c r="A7" s="27" t="s">
        <v>270</v>
      </c>
      <c r="B7" s="28" t="s">
        <v>271</v>
      </c>
    </row>
    <row r="8" customFormat="false" ht="15" hidden="false" customHeight="false" outlineLevel="0" collapsed="false">
      <c r="A8" s="27" t="s">
        <v>272</v>
      </c>
      <c r="B8" s="28" t="s">
        <v>273</v>
      </c>
    </row>
    <row r="9" customFormat="false" ht="15" hidden="false" customHeight="false" outlineLevel="0" collapsed="false">
      <c r="A9" s="27" t="s">
        <v>274</v>
      </c>
      <c r="B9" s="28" t="s">
        <v>275</v>
      </c>
    </row>
    <row r="10" customFormat="false" ht="15" hidden="false" customHeight="false" outlineLevel="0" collapsed="false">
      <c r="A10" s="27" t="s">
        <v>276</v>
      </c>
      <c r="B10" s="28" t="s">
        <v>277</v>
      </c>
    </row>
    <row r="11" customFormat="false" ht="15" hidden="false" customHeight="false" outlineLevel="0" collapsed="false">
      <c r="A11" s="27" t="s">
        <v>278</v>
      </c>
      <c r="B11" s="28" t="s">
        <v>234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LibreOffice/26.2.0.3$Linux_X86_64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2026-07-21T02:35:29Z</dcterms:created>
  <dc:creator>openpyxl</dc:creator>
  <dc:description/>
  <dc:language>en-US</dc:language>
  <cp:lastModifiedBy/>
  <dcterms:modified xsi:type="dcterms:W3CDTF">2026-07-21T02:35:29Z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